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cg22-my.sharepoint.com/personal/alek_hernandez_puertaabierta_com_gt/Documents/Documentos/0. Estatus Proyectos/Documentos varios/"/>
    </mc:Choice>
  </mc:AlternateContent>
  <xr:revisionPtr revIDLastSave="0" documentId="8_{1DCE4361-662B-4009-BA44-6A3C0973039E}" xr6:coauthVersionLast="47" xr6:coauthVersionMax="47" xr10:uidLastSave="{00000000-0000-0000-0000-000000000000}"/>
  <bookViews>
    <workbookView xWindow="-108" yWindow="-108" windowWidth="23256" windowHeight="12456" xr2:uid="{54564626-99FB-4D60-9B08-54788EB519EB}"/>
  </bookViews>
  <sheets>
    <sheet name="Cesión de derechos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'Cesión de derechos'!$A$1:$X$189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1" i="1" l="1"/>
  <c r="H201" i="1" s="1"/>
  <c r="G200" i="1"/>
  <c r="H200" i="1" s="1"/>
  <c r="G199" i="1"/>
  <c r="H199" i="1" s="1"/>
  <c r="H198" i="1"/>
  <c r="G198" i="1"/>
  <c r="G197" i="1"/>
  <c r="H197" i="1" s="1"/>
  <c r="M134" i="1" s="1"/>
  <c r="G196" i="1"/>
  <c r="H196" i="1" s="1"/>
  <c r="M106" i="1" s="1"/>
  <c r="G195" i="1"/>
  <c r="H195" i="1" s="1"/>
  <c r="X189" i="1"/>
  <c r="W189" i="1"/>
  <c r="V189" i="1"/>
  <c r="T189" i="1"/>
  <c r="Q189" i="1"/>
  <c r="S189" i="1" s="1"/>
  <c r="U189" i="1" s="1"/>
  <c r="M189" i="1"/>
  <c r="N189" i="1" s="1"/>
  <c r="O189" i="1" s="1"/>
  <c r="I189" i="1"/>
  <c r="J189" i="1" s="1"/>
  <c r="K189" i="1" s="1"/>
  <c r="G189" i="1"/>
  <c r="H189" i="1" s="1"/>
  <c r="L189" i="1" s="1"/>
  <c r="E189" i="1"/>
  <c r="D189" i="1"/>
  <c r="C189" i="1"/>
  <c r="X188" i="1"/>
  <c r="W188" i="1"/>
  <c r="V188" i="1"/>
  <c r="T188" i="1"/>
  <c r="Q188" i="1"/>
  <c r="S188" i="1" s="1"/>
  <c r="U188" i="1" s="1"/>
  <c r="M188" i="1"/>
  <c r="I188" i="1"/>
  <c r="J188" i="1" s="1"/>
  <c r="K188" i="1" s="1"/>
  <c r="H188" i="1"/>
  <c r="G188" i="1"/>
  <c r="E188" i="1"/>
  <c r="D188" i="1"/>
  <c r="C188" i="1"/>
  <c r="X187" i="1"/>
  <c r="W187" i="1"/>
  <c r="V187" i="1"/>
  <c r="T187" i="1"/>
  <c r="Q187" i="1"/>
  <c r="S187" i="1" s="1"/>
  <c r="U187" i="1" s="1"/>
  <c r="I187" i="1"/>
  <c r="J187" i="1" s="1"/>
  <c r="H187" i="1"/>
  <c r="G187" i="1"/>
  <c r="E187" i="1"/>
  <c r="D187" i="1"/>
  <c r="C187" i="1"/>
  <c r="X186" i="1"/>
  <c r="W186" i="1"/>
  <c r="V186" i="1"/>
  <c r="T186" i="1"/>
  <c r="Q186" i="1"/>
  <c r="S186" i="1" s="1"/>
  <c r="U186" i="1" s="1"/>
  <c r="J186" i="1"/>
  <c r="K186" i="1" s="1"/>
  <c r="I186" i="1"/>
  <c r="G186" i="1"/>
  <c r="H186" i="1" s="1"/>
  <c r="E186" i="1"/>
  <c r="D186" i="1"/>
  <c r="C186" i="1"/>
  <c r="X185" i="1"/>
  <c r="W185" i="1"/>
  <c r="V185" i="1"/>
  <c r="T185" i="1"/>
  <c r="S185" i="1"/>
  <c r="U185" i="1" s="1"/>
  <c r="Q185" i="1"/>
  <c r="K185" i="1"/>
  <c r="J185" i="1"/>
  <c r="I185" i="1"/>
  <c r="H185" i="1"/>
  <c r="G185" i="1"/>
  <c r="E185" i="1"/>
  <c r="L185" i="1" s="1"/>
  <c r="D185" i="1"/>
  <c r="C185" i="1"/>
  <c r="X184" i="1"/>
  <c r="W184" i="1"/>
  <c r="V184" i="1"/>
  <c r="T184" i="1"/>
  <c r="Q184" i="1"/>
  <c r="S184" i="1" s="1"/>
  <c r="U184" i="1" s="1"/>
  <c r="M184" i="1"/>
  <c r="L184" i="1"/>
  <c r="I184" i="1"/>
  <c r="J184" i="1" s="1"/>
  <c r="K184" i="1" s="1"/>
  <c r="H184" i="1"/>
  <c r="G184" i="1"/>
  <c r="E184" i="1"/>
  <c r="D184" i="1"/>
  <c r="C184" i="1"/>
  <c r="X183" i="1"/>
  <c r="W183" i="1"/>
  <c r="V183" i="1"/>
  <c r="T183" i="1"/>
  <c r="Q183" i="1"/>
  <c r="S183" i="1" s="1"/>
  <c r="U183" i="1" s="1"/>
  <c r="J183" i="1"/>
  <c r="K183" i="1" s="1"/>
  <c r="I183" i="1"/>
  <c r="G183" i="1"/>
  <c r="H183" i="1" s="1"/>
  <c r="E183" i="1"/>
  <c r="L183" i="1" s="1"/>
  <c r="D183" i="1"/>
  <c r="C183" i="1"/>
  <c r="X182" i="1"/>
  <c r="W182" i="1"/>
  <c r="V182" i="1"/>
  <c r="T182" i="1"/>
  <c r="S182" i="1"/>
  <c r="U182" i="1" s="1"/>
  <c r="Q182" i="1"/>
  <c r="I182" i="1"/>
  <c r="J182" i="1" s="1"/>
  <c r="K182" i="1" s="1"/>
  <c r="H182" i="1"/>
  <c r="L182" i="1" s="1"/>
  <c r="G182" i="1"/>
  <c r="E182" i="1"/>
  <c r="D182" i="1"/>
  <c r="C182" i="1"/>
  <c r="X181" i="1"/>
  <c r="W181" i="1"/>
  <c r="V181" i="1"/>
  <c r="T181" i="1"/>
  <c r="Q181" i="1"/>
  <c r="S181" i="1" s="1"/>
  <c r="U181" i="1" s="1"/>
  <c r="I181" i="1"/>
  <c r="J181" i="1" s="1"/>
  <c r="K181" i="1" s="1"/>
  <c r="G181" i="1"/>
  <c r="H181" i="1" s="1"/>
  <c r="E181" i="1"/>
  <c r="D181" i="1"/>
  <c r="C181" i="1"/>
  <c r="X180" i="1"/>
  <c r="W180" i="1"/>
  <c r="V180" i="1"/>
  <c r="T180" i="1"/>
  <c r="Q180" i="1"/>
  <c r="S180" i="1" s="1"/>
  <c r="U180" i="1" s="1"/>
  <c r="J180" i="1"/>
  <c r="K180" i="1" s="1"/>
  <c r="I180" i="1"/>
  <c r="G180" i="1"/>
  <c r="H180" i="1" s="1"/>
  <c r="L180" i="1" s="1"/>
  <c r="E180" i="1"/>
  <c r="D180" i="1"/>
  <c r="C180" i="1"/>
  <c r="X179" i="1"/>
  <c r="W179" i="1"/>
  <c r="V179" i="1"/>
  <c r="T179" i="1"/>
  <c r="S179" i="1"/>
  <c r="U179" i="1" s="1"/>
  <c r="Q179" i="1"/>
  <c r="M179" i="1"/>
  <c r="K179" i="1"/>
  <c r="I179" i="1"/>
  <c r="J179" i="1" s="1"/>
  <c r="H179" i="1"/>
  <c r="G179" i="1"/>
  <c r="E179" i="1"/>
  <c r="D179" i="1"/>
  <c r="C179" i="1"/>
  <c r="X178" i="1"/>
  <c r="W178" i="1"/>
  <c r="V178" i="1"/>
  <c r="T178" i="1"/>
  <c r="Q178" i="1"/>
  <c r="S178" i="1" s="1"/>
  <c r="U178" i="1" s="1"/>
  <c r="I178" i="1"/>
  <c r="J178" i="1" s="1"/>
  <c r="K178" i="1" s="1"/>
  <c r="G178" i="1"/>
  <c r="H178" i="1" s="1"/>
  <c r="E178" i="1"/>
  <c r="D178" i="1"/>
  <c r="C178" i="1"/>
  <c r="X177" i="1"/>
  <c r="W177" i="1"/>
  <c r="V177" i="1"/>
  <c r="T177" i="1"/>
  <c r="Q177" i="1"/>
  <c r="S177" i="1" s="1"/>
  <c r="U177" i="1" s="1"/>
  <c r="J177" i="1"/>
  <c r="K177" i="1" s="1"/>
  <c r="I177" i="1"/>
  <c r="G177" i="1"/>
  <c r="H177" i="1" s="1"/>
  <c r="E177" i="1"/>
  <c r="D177" i="1"/>
  <c r="C177" i="1"/>
  <c r="X176" i="1"/>
  <c r="W176" i="1"/>
  <c r="V176" i="1"/>
  <c r="T176" i="1"/>
  <c r="Q176" i="1"/>
  <c r="S176" i="1" s="1"/>
  <c r="U176" i="1" s="1"/>
  <c r="I176" i="1"/>
  <c r="J176" i="1" s="1"/>
  <c r="K176" i="1" s="1"/>
  <c r="H176" i="1"/>
  <c r="G176" i="1"/>
  <c r="E176" i="1"/>
  <c r="D176" i="1"/>
  <c r="C176" i="1"/>
  <c r="X175" i="1"/>
  <c r="W175" i="1"/>
  <c r="V175" i="1"/>
  <c r="T175" i="1"/>
  <c r="Q175" i="1"/>
  <c r="S175" i="1" s="1"/>
  <c r="U175" i="1" s="1"/>
  <c r="I175" i="1"/>
  <c r="J175" i="1" s="1"/>
  <c r="H175" i="1"/>
  <c r="G175" i="1"/>
  <c r="E175" i="1"/>
  <c r="D175" i="1"/>
  <c r="C175" i="1"/>
  <c r="X174" i="1"/>
  <c r="W174" i="1"/>
  <c r="V174" i="1"/>
  <c r="T174" i="1"/>
  <c r="Q174" i="1"/>
  <c r="S174" i="1" s="1"/>
  <c r="U174" i="1" s="1"/>
  <c r="J174" i="1"/>
  <c r="K174" i="1" s="1"/>
  <c r="I174" i="1"/>
  <c r="G174" i="1"/>
  <c r="H174" i="1" s="1"/>
  <c r="E174" i="1"/>
  <c r="D174" i="1"/>
  <c r="C174" i="1"/>
  <c r="X173" i="1"/>
  <c r="W173" i="1"/>
  <c r="V173" i="1"/>
  <c r="T173" i="1"/>
  <c r="S173" i="1"/>
  <c r="U173" i="1" s="1"/>
  <c r="Q173" i="1"/>
  <c r="K173" i="1"/>
  <c r="J173" i="1"/>
  <c r="I173" i="1"/>
  <c r="H173" i="1"/>
  <c r="G173" i="1"/>
  <c r="E173" i="1"/>
  <c r="L173" i="1" s="1"/>
  <c r="D173" i="1"/>
  <c r="C173" i="1"/>
  <c r="X172" i="1"/>
  <c r="W172" i="1"/>
  <c r="V172" i="1"/>
  <c r="U172" i="1"/>
  <c r="T172" i="1"/>
  <c r="S172" i="1"/>
  <c r="Q172" i="1"/>
  <c r="M172" i="1"/>
  <c r="I172" i="1"/>
  <c r="J172" i="1" s="1"/>
  <c r="K172" i="1" s="1"/>
  <c r="G172" i="1"/>
  <c r="H172" i="1" s="1"/>
  <c r="L172" i="1" s="1"/>
  <c r="E172" i="1"/>
  <c r="D172" i="1"/>
  <c r="C172" i="1"/>
  <c r="X171" i="1"/>
  <c r="W171" i="1"/>
  <c r="V171" i="1"/>
  <c r="U171" i="1"/>
  <c r="T171" i="1"/>
  <c r="Q171" i="1"/>
  <c r="S171" i="1" s="1"/>
  <c r="J171" i="1"/>
  <c r="K171" i="1" s="1"/>
  <c r="I171" i="1"/>
  <c r="H171" i="1"/>
  <c r="G171" i="1"/>
  <c r="E171" i="1"/>
  <c r="D171" i="1"/>
  <c r="C171" i="1"/>
  <c r="X170" i="1"/>
  <c r="W170" i="1"/>
  <c r="V170" i="1"/>
  <c r="T170" i="1"/>
  <c r="S170" i="1"/>
  <c r="U170" i="1" s="1"/>
  <c r="Q170" i="1"/>
  <c r="I170" i="1"/>
  <c r="J170" i="1" s="1"/>
  <c r="K170" i="1" s="1"/>
  <c r="H170" i="1"/>
  <c r="G170" i="1"/>
  <c r="E170" i="1"/>
  <c r="D170" i="1"/>
  <c r="C170" i="1"/>
  <c r="X169" i="1"/>
  <c r="W169" i="1"/>
  <c r="V169" i="1"/>
  <c r="T169" i="1"/>
  <c r="Q169" i="1"/>
  <c r="S169" i="1" s="1"/>
  <c r="U169" i="1" s="1"/>
  <c r="J169" i="1"/>
  <c r="K169" i="1" s="1"/>
  <c r="I169" i="1"/>
  <c r="G169" i="1"/>
  <c r="H169" i="1" s="1"/>
  <c r="E169" i="1"/>
  <c r="D169" i="1"/>
  <c r="C169" i="1"/>
  <c r="X168" i="1"/>
  <c r="W168" i="1"/>
  <c r="V168" i="1"/>
  <c r="T168" i="1"/>
  <c r="Q168" i="1"/>
  <c r="S168" i="1" s="1"/>
  <c r="U168" i="1" s="1"/>
  <c r="J168" i="1"/>
  <c r="K168" i="1" s="1"/>
  <c r="I168" i="1"/>
  <c r="G168" i="1"/>
  <c r="H168" i="1" s="1"/>
  <c r="E168" i="1"/>
  <c r="D168" i="1"/>
  <c r="C168" i="1"/>
  <c r="X167" i="1"/>
  <c r="W167" i="1"/>
  <c r="V167" i="1"/>
  <c r="T167" i="1"/>
  <c r="S167" i="1"/>
  <c r="U167" i="1" s="1"/>
  <c r="Q167" i="1"/>
  <c r="L167" i="1"/>
  <c r="K167" i="1"/>
  <c r="I167" i="1"/>
  <c r="J167" i="1" s="1"/>
  <c r="H167" i="1"/>
  <c r="G167" i="1"/>
  <c r="E167" i="1"/>
  <c r="D167" i="1"/>
  <c r="C167" i="1"/>
  <c r="X166" i="1"/>
  <c r="W166" i="1"/>
  <c r="V166" i="1"/>
  <c r="T166" i="1"/>
  <c r="Q166" i="1"/>
  <c r="S166" i="1" s="1"/>
  <c r="U166" i="1" s="1"/>
  <c r="M166" i="1"/>
  <c r="I166" i="1"/>
  <c r="J166" i="1" s="1"/>
  <c r="K166" i="1" s="1"/>
  <c r="G166" i="1"/>
  <c r="H166" i="1" s="1"/>
  <c r="E166" i="1"/>
  <c r="L166" i="1" s="1"/>
  <c r="D166" i="1"/>
  <c r="C166" i="1"/>
  <c r="X165" i="1"/>
  <c r="W165" i="1"/>
  <c r="V165" i="1"/>
  <c r="T165" i="1"/>
  <c r="Q165" i="1"/>
  <c r="S165" i="1" s="1"/>
  <c r="U165" i="1" s="1"/>
  <c r="J165" i="1"/>
  <c r="K165" i="1" s="1"/>
  <c r="I165" i="1"/>
  <c r="G165" i="1"/>
  <c r="H165" i="1" s="1"/>
  <c r="L165" i="1" s="1"/>
  <c r="E165" i="1"/>
  <c r="D165" i="1"/>
  <c r="C165" i="1"/>
  <c r="X164" i="1"/>
  <c r="W164" i="1"/>
  <c r="V164" i="1"/>
  <c r="T164" i="1"/>
  <c r="Q164" i="1"/>
  <c r="S164" i="1" s="1"/>
  <c r="U164" i="1" s="1"/>
  <c r="M164" i="1"/>
  <c r="I164" i="1"/>
  <c r="J164" i="1" s="1"/>
  <c r="K164" i="1" s="1"/>
  <c r="H164" i="1"/>
  <c r="G164" i="1"/>
  <c r="E164" i="1"/>
  <c r="L164" i="1" s="1"/>
  <c r="N164" i="1" s="1"/>
  <c r="O164" i="1" s="1"/>
  <c r="D164" i="1"/>
  <c r="C164" i="1"/>
  <c r="X163" i="1"/>
  <c r="W163" i="1"/>
  <c r="V163" i="1"/>
  <c r="T163" i="1"/>
  <c r="Q163" i="1"/>
  <c r="S163" i="1" s="1"/>
  <c r="U163" i="1" s="1"/>
  <c r="I163" i="1"/>
  <c r="J163" i="1" s="1"/>
  <c r="H163" i="1"/>
  <c r="G163" i="1"/>
  <c r="E163" i="1"/>
  <c r="D163" i="1"/>
  <c r="C163" i="1"/>
  <c r="X162" i="1"/>
  <c r="W162" i="1"/>
  <c r="V162" i="1"/>
  <c r="T162" i="1"/>
  <c r="Q162" i="1"/>
  <c r="S162" i="1" s="1"/>
  <c r="U162" i="1" s="1"/>
  <c r="J162" i="1"/>
  <c r="K162" i="1" s="1"/>
  <c r="I162" i="1"/>
  <c r="G162" i="1"/>
  <c r="H162" i="1" s="1"/>
  <c r="E162" i="1"/>
  <c r="L162" i="1" s="1"/>
  <c r="D162" i="1"/>
  <c r="C162" i="1"/>
  <c r="X161" i="1"/>
  <c r="W161" i="1"/>
  <c r="V161" i="1"/>
  <c r="T161" i="1"/>
  <c r="S161" i="1"/>
  <c r="U161" i="1" s="1"/>
  <c r="Q161" i="1"/>
  <c r="K161" i="1"/>
  <c r="J161" i="1"/>
  <c r="I161" i="1"/>
  <c r="H161" i="1"/>
  <c r="G161" i="1"/>
  <c r="E161" i="1"/>
  <c r="L161" i="1" s="1"/>
  <c r="D161" i="1"/>
  <c r="C161" i="1"/>
  <c r="X160" i="1"/>
  <c r="W160" i="1"/>
  <c r="V160" i="1"/>
  <c r="T160" i="1"/>
  <c r="Q160" i="1"/>
  <c r="S160" i="1" s="1"/>
  <c r="U160" i="1" s="1"/>
  <c r="M160" i="1"/>
  <c r="I160" i="1"/>
  <c r="J160" i="1" s="1"/>
  <c r="K160" i="1" s="1"/>
  <c r="G160" i="1"/>
  <c r="H160" i="1" s="1"/>
  <c r="E160" i="1"/>
  <c r="D160" i="1"/>
  <c r="C160" i="1"/>
  <c r="X159" i="1"/>
  <c r="W159" i="1"/>
  <c r="V159" i="1"/>
  <c r="T159" i="1"/>
  <c r="Q159" i="1"/>
  <c r="S159" i="1" s="1"/>
  <c r="U159" i="1" s="1"/>
  <c r="J159" i="1"/>
  <c r="K159" i="1" s="1"/>
  <c r="I159" i="1"/>
  <c r="H159" i="1"/>
  <c r="G159" i="1"/>
  <c r="E159" i="1"/>
  <c r="D159" i="1"/>
  <c r="C159" i="1"/>
  <c r="X158" i="1"/>
  <c r="W158" i="1"/>
  <c r="V158" i="1"/>
  <c r="T158" i="1"/>
  <c r="S158" i="1"/>
  <c r="U158" i="1" s="1"/>
  <c r="Q158" i="1"/>
  <c r="I158" i="1"/>
  <c r="J158" i="1" s="1"/>
  <c r="K158" i="1" s="1"/>
  <c r="H158" i="1"/>
  <c r="G158" i="1"/>
  <c r="E158" i="1"/>
  <c r="D158" i="1"/>
  <c r="C158" i="1"/>
  <c r="X157" i="1"/>
  <c r="W157" i="1"/>
  <c r="V157" i="1"/>
  <c r="T157" i="1"/>
  <c r="Q157" i="1"/>
  <c r="S157" i="1" s="1"/>
  <c r="U157" i="1" s="1"/>
  <c r="J157" i="1"/>
  <c r="K157" i="1" s="1"/>
  <c r="I157" i="1"/>
  <c r="G157" i="1"/>
  <c r="H157" i="1" s="1"/>
  <c r="E157" i="1"/>
  <c r="D157" i="1"/>
  <c r="C157" i="1"/>
  <c r="X156" i="1"/>
  <c r="W156" i="1"/>
  <c r="V156" i="1"/>
  <c r="T156" i="1"/>
  <c r="Q156" i="1"/>
  <c r="S156" i="1" s="1"/>
  <c r="U156" i="1" s="1"/>
  <c r="J156" i="1"/>
  <c r="K156" i="1" s="1"/>
  <c r="I156" i="1"/>
  <c r="G156" i="1"/>
  <c r="H156" i="1" s="1"/>
  <c r="E156" i="1"/>
  <c r="D156" i="1"/>
  <c r="C156" i="1"/>
  <c r="X155" i="1"/>
  <c r="W155" i="1"/>
  <c r="V155" i="1"/>
  <c r="T155" i="1"/>
  <c r="S155" i="1"/>
  <c r="U155" i="1" s="1"/>
  <c r="Q155" i="1"/>
  <c r="L155" i="1"/>
  <c r="K155" i="1"/>
  <c r="I155" i="1"/>
  <c r="J155" i="1" s="1"/>
  <c r="H155" i="1"/>
  <c r="G155" i="1"/>
  <c r="E155" i="1"/>
  <c r="D155" i="1"/>
  <c r="C155" i="1"/>
  <c r="X154" i="1"/>
  <c r="W154" i="1"/>
  <c r="V154" i="1"/>
  <c r="U154" i="1"/>
  <c r="T154" i="1"/>
  <c r="Q154" i="1"/>
  <c r="S154" i="1" s="1"/>
  <c r="I154" i="1"/>
  <c r="J154" i="1" s="1"/>
  <c r="K154" i="1" s="1"/>
  <c r="G154" i="1"/>
  <c r="H154" i="1" s="1"/>
  <c r="F154" i="1"/>
  <c r="E154" i="1"/>
  <c r="D154" i="1"/>
  <c r="C154" i="1"/>
  <c r="X153" i="1"/>
  <c r="W153" i="1"/>
  <c r="V153" i="1"/>
  <c r="T153" i="1"/>
  <c r="S153" i="1"/>
  <c r="U153" i="1" s="1"/>
  <c r="Q153" i="1"/>
  <c r="I153" i="1"/>
  <c r="J153" i="1" s="1"/>
  <c r="K153" i="1" s="1"/>
  <c r="H153" i="1"/>
  <c r="L153" i="1" s="1"/>
  <c r="G153" i="1"/>
  <c r="E153" i="1"/>
  <c r="D153" i="1"/>
  <c r="C153" i="1"/>
  <c r="X152" i="1"/>
  <c r="W152" i="1"/>
  <c r="V152" i="1"/>
  <c r="T152" i="1"/>
  <c r="Q152" i="1"/>
  <c r="S152" i="1" s="1"/>
  <c r="U152" i="1" s="1"/>
  <c r="I152" i="1"/>
  <c r="J152" i="1" s="1"/>
  <c r="K152" i="1" s="1"/>
  <c r="G152" i="1"/>
  <c r="H152" i="1" s="1"/>
  <c r="E152" i="1"/>
  <c r="D152" i="1"/>
  <c r="C152" i="1"/>
  <c r="X151" i="1"/>
  <c r="W151" i="1"/>
  <c r="V151" i="1"/>
  <c r="T151" i="1"/>
  <c r="S151" i="1"/>
  <c r="U151" i="1" s="1"/>
  <c r="Q151" i="1"/>
  <c r="J151" i="1"/>
  <c r="K151" i="1" s="1"/>
  <c r="I151" i="1"/>
  <c r="G151" i="1"/>
  <c r="H151" i="1" s="1"/>
  <c r="L151" i="1" s="1"/>
  <c r="E151" i="1"/>
  <c r="D151" i="1"/>
  <c r="C151" i="1"/>
  <c r="X150" i="1"/>
  <c r="W150" i="1"/>
  <c r="V150" i="1"/>
  <c r="T150" i="1"/>
  <c r="S150" i="1"/>
  <c r="U150" i="1" s="1"/>
  <c r="Q150" i="1"/>
  <c r="I150" i="1"/>
  <c r="J150" i="1" s="1"/>
  <c r="H150" i="1"/>
  <c r="G150" i="1"/>
  <c r="E150" i="1"/>
  <c r="D150" i="1"/>
  <c r="C150" i="1"/>
  <c r="X149" i="1"/>
  <c r="W149" i="1"/>
  <c r="V149" i="1"/>
  <c r="T149" i="1"/>
  <c r="Q149" i="1"/>
  <c r="S149" i="1" s="1"/>
  <c r="U149" i="1" s="1"/>
  <c r="I149" i="1"/>
  <c r="J149" i="1" s="1"/>
  <c r="K149" i="1" s="1"/>
  <c r="G149" i="1"/>
  <c r="H149" i="1" s="1"/>
  <c r="E149" i="1"/>
  <c r="D149" i="1"/>
  <c r="C149" i="1"/>
  <c r="X148" i="1"/>
  <c r="W148" i="1"/>
  <c r="V148" i="1"/>
  <c r="T148" i="1"/>
  <c r="Q148" i="1"/>
  <c r="S148" i="1" s="1"/>
  <c r="U148" i="1" s="1"/>
  <c r="M148" i="1"/>
  <c r="J148" i="1"/>
  <c r="K148" i="1" s="1"/>
  <c r="I148" i="1"/>
  <c r="G148" i="1"/>
  <c r="H148" i="1" s="1"/>
  <c r="E148" i="1"/>
  <c r="D148" i="1"/>
  <c r="C148" i="1"/>
  <c r="X147" i="1"/>
  <c r="W147" i="1"/>
  <c r="V147" i="1"/>
  <c r="T147" i="1"/>
  <c r="Q147" i="1"/>
  <c r="S147" i="1" s="1"/>
  <c r="U147" i="1" s="1"/>
  <c r="I147" i="1"/>
  <c r="J147" i="1" s="1"/>
  <c r="K147" i="1" s="1"/>
  <c r="H147" i="1"/>
  <c r="G147" i="1"/>
  <c r="E147" i="1"/>
  <c r="D147" i="1"/>
  <c r="C147" i="1"/>
  <c r="X146" i="1"/>
  <c r="W146" i="1"/>
  <c r="V146" i="1"/>
  <c r="T146" i="1"/>
  <c r="Q146" i="1"/>
  <c r="S146" i="1" s="1"/>
  <c r="U146" i="1" s="1"/>
  <c r="I146" i="1"/>
  <c r="J146" i="1" s="1"/>
  <c r="K146" i="1" s="1"/>
  <c r="G146" i="1"/>
  <c r="H146" i="1" s="1"/>
  <c r="L146" i="1" s="1"/>
  <c r="E146" i="1"/>
  <c r="D146" i="1"/>
  <c r="C146" i="1"/>
  <c r="X145" i="1"/>
  <c r="W145" i="1"/>
  <c r="V145" i="1"/>
  <c r="T145" i="1"/>
  <c r="Q145" i="1"/>
  <c r="S145" i="1" s="1"/>
  <c r="U145" i="1" s="1"/>
  <c r="K145" i="1"/>
  <c r="J145" i="1"/>
  <c r="I145" i="1"/>
  <c r="H145" i="1"/>
  <c r="G145" i="1"/>
  <c r="E145" i="1"/>
  <c r="L145" i="1" s="1"/>
  <c r="D145" i="1"/>
  <c r="C145" i="1"/>
  <c r="X144" i="1"/>
  <c r="W144" i="1"/>
  <c r="V144" i="1"/>
  <c r="T144" i="1"/>
  <c r="S144" i="1"/>
  <c r="U144" i="1" s="1"/>
  <c r="Q144" i="1"/>
  <c r="I144" i="1"/>
  <c r="J144" i="1" s="1"/>
  <c r="K144" i="1" s="1"/>
  <c r="H144" i="1"/>
  <c r="G144" i="1"/>
  <c r="E144" i="1"/>
  <c r="D144" i="1"/>
  <c r="C144" i="1"/>
  <c r="X143" i="1"/>
  <c r="W143" i="1"/>
  <c r="V143" i="1"/>
  <c r="T143" i="1"/>
  <c r="Q143" i="1"/>
  <c r="S143" i="1" s="1"/>
  <c r="U143" i="1" s="1"/>
  <c r="M143" i="1"/>
  <c r="J143" i="1"/>
  <c r="K143" i="1" s="1"/>
  <c r="L143" i="1" s="1"/>
  <c r="I143" i="1"/>
  <c r="G143" i="1"/>
  <c r="H143" i="1" s="1"/>
  <c r="E143" i="1"/>
  <c r="D143" i="1"/>
  <c r="C143" i="1"/>
  <c r="X142" i="1"/>
  <c r="W142" i="1"/>
  <c r="V142" i="1"/>
  <c r="T142" i="1"/>
  <c r="Q142" i="1"/>
  <c r="S142" i="1" s="1"/>
  <c r="U142" i="1" s="1"/>
  <c r="M142" i="1"/>
  <c r="J142" i="1"/>
  <c r="K142" i="1" s="1"/>
  <c r="I142" i="1"/>
  <c r="G142" i="1"/>
  <c r="H142" i="1" s="1"/>
  <c r="E142" i="1"/>
  <c r="D142" i="1"/>
  <c r="C142" i="1"/>
  <c r="X141" i="1"/>
  <c r="W141" i="1"/>
  <c r="V141" i="1"/>
  <c r="T141" i="1"/>
  <c r="S141" i="1"/>
  <c r="U141" i="1" s="1"/>
  <c r="Q141" i="1"/>
  <c r="I141" i="1"/>
  <c r="J141" i="1" s="1"/>
  <c r="K141" i="1" s="1"/>
  <c r="H141" i="1"/>
  <c r="L141" i="1" s="1"/>
  <c r="G141" i="1"/>
  <c r="E141" i="1"/>
  <c r="D141" i="1"/>
  <c r="C141" i="1"/>
  <c r="X140" i="1"/>
  <c r="W140" i="1"/>
  <c r="V140" i="1"/>
  <c r="T140" i="1"/>
  <c r="Q140" i="1"/>
  <c r="S140" i="1" s="1"/>
  <c r="U140" i="1" s="1"/>
  <c r="I140" i="1"/>
  <c r="J140" i="1" s="1"/>
  <c r="K140" i="1" s="1"/>
  <c r="G140" i="1"/>
  <c r="H140" i="1" s="1"/>
  <c r="E140" i="1"/>
  <c r="D140" i="1"/>
  <c r="C140" i="1"/>
  <c r="X139" i="1"/>
  <c r="W139" i="1"/>
  <c r="V139" i="1"/>
  <c r="T139" i="1"/>
  <c r="Q139" i="1"/>
  <c r="S139" i="1" s="1"/>
  <c r="U139" i="1" s="1"/>
  <c r="J139" i="1"/>
  <c r="K139" i="1" s="1"/>
  <c r="I139" i="1"/>
  <c r="G139" i="1"/>
  <c r="H139" i="1" s="1"/>
  <c r="L139" i="1" s="1"/>
  <c r="E139" i="1"/>
  <c r="D139" i="1"/>
  <c r="C139" i="1"/>
  <c r="X138" i="1"/>
  <c r="W138" i="1"/>
  <c r="V138" i="1"/>
  <c r="T138" i="1"/>
  <c r="S138" i="1"/>
  <c r="U138" i="1" s="1"/>
  <c r="Q138" i="1"/>
  <c r="K138" i="1"/>
  <c r="L138" i="1" s="1"/>
  <c r="J138" i="1"/>
  <c r="I138" i="1"/>
  <c r="H138" i="1"/>
  <c r="G138" i="1"/>
  <c r="E138" i="1"/>
  <c r="D138" i="1"/>
  <c r="C138" i="1"/>
  <c r="X137" i="1"/>
  <c r="W137" i="1"/>
  <c r="V137" i="1"/>
  <c r="U137" i="1"/>
  <c r="T137" i="1"/>
  <c r="S137" i="1"/>
  <c r="Q137" i="1"/>
  <c r="I137" i="1"/>
  <c r="J137" i="1" s="1"/>
  <c r="K137" i="1" s="1"/>
  <c r="G137" i="1"/>
  <c r="H137" i="1" s="1"/>
  <c r="E137" i="1"/>
  <c r="L137" i="1" s="1"/>
  <c r="D137" i="1"/>
  <c r="C137" i="1"/>
  <c r="X136" i="1"/>
  <c r="W136" i="1"/>
  <c r="V136" i="1"/>
  <c r="U136" i="1"/>
  <c r="T136" i="1"/>
  <c r="Q136" i="1"/>
  <c r="S136" i="1" s="1"/>
  <c r="I136" i="1"/>
  <c r="J136" i="1" s="1"/>
  <c r="K136" i="1" s="1"/>
  <c r="G136" i="1"/>
  <c r="H136" i="1" s="1"/>
  <c r="L136" i="1" s="1"/>
  <c r="E136" i="1"/>
  <c r="D136" i="1"/>
  <c r="C136" i="1"/>
  <c r="X135" i="1"/>
  <c r="W135" i="1"/>
  <c r="V135" i="1"/>
  <c r="T135" i="1"/>
  <c r="Q135" i="1"/>
  <c r="S135" i="1" s="1"/>
  <c r="U135" i="1" s="1"/>
  <c r="I135" i="1"/>
  <c r="J135" i="1" s="1"/>
  <c r="K135" i="1" s="1"/>
  <c r="H135" i="1"/>
  <c r="G135" i="1"/>
  <c r="E135" i="1"/>
  <c r="L135" i="1" s="1"/>
  <c r="D135" i="1"/>
  <c r="C135" i="1"/>
  <c r="X134" i="1"/>
  <c r="W134" i="1"/>
  <c r="V134" i="1"/>
  <c r="T134" i="1"/>
  <c r="Q134" i="1"/>
  <c r="S134" i="1" s="1"/>
  <c r="U134" i="1" s="1"/>
  <c r="I134" i="1"/>
  <c r="J134" i="1" s="1"/>
  <c r="K134" i="1" s="1"/>
  <c r="G134" i="1"/>
  <c r="H134" i="1" s="1"/>
  <c r="L134" i="1" s="1"/>
  <c r="E134" i="1"/>
  <c r="D134" i="1"/>
  <c r="C134" i="1"/>
  <c r="X133" i="1"/>
  <c r="W133" i="1"/>
  <c r="V133" i="1"/>
  <c r="T133" i="1"/>
  <c r="Q133" i="1"/>
  <c r="S133" i="1" s="1"/>
  <c r="U133" i="1" s="1"/>
  <c r="K133" i="1"/>
  <c r="J133" i="1"/>
  <c r="I133" i="1"/>
  <c r="H133" i="1"/>
  <c r="G133" i="1"/>
  <c r="E133" i="1"/>
  <c r="L133" i="1" s="1"/>
  <c r="D133" i="1"/>
  <c r="C133" i="1"/>
  <c r="X132" i="1"/>
  <c r="W132" i="1"/>
  <c r="V132" i="1"/>
  <c r="T132" i="1"/>
  <c r="S132" i="1"/>
  <c r="U132" i="1" s="1"/>
  <c r="Q132" i="1"/>
  <c r="I132" i="1"/>
  <c r="J132" i="1" s="1"/>
  <c r="K132" i="1" s="1"/>
  <c r="H132" i="1"/>
  <c r="G132" i="1"/>
  <c r="E132" i="1"/>
  <c r="D132" i="1"/>
  <c r="C132" i="1"/>
  <c r="X131" i="1"/>
  <c r="W131" i="1"/>
  <c r="V131" i="1"/>
  <c r="T131" i="1"/>
  <c r="Q131" i="1"/>
  <c r="S131" i="1" s="1"/>
  <c r="U131" i="1" s="1"/>
  <c r="I131" i="1"/>
  <c r="J131" i="1" s="1"/>
  <c r="K131" i="1" s="1"/>
  <c r="G131" i="1"/>
  <c r="H131" i="1" s="1"/>
  <c r="L131" i="1" s="1"/>
  <c r="E131" i="1"/>
  <c r="D131" i="1"/>
  <c r="C131" i="1"/>
  <c r="X130" i="1"/>
  <c r="W130" i="1"/>
  <c r="V130" i="1"/>
  <c r="U130" i="1"/>
  <c r="T130" i="1"/>
  <c r="Q130" i="1"/>
  <c r="S130" i="1" s="1"/>
  <c r="M130" i="1"/>
  <c r="J130" i="1"/>
  <c r="K130" i="1" s="1"/>
  <c r="I130" i="1"/>
  <c r="G130" i="1"/>
  <c r="H130" i="1" s="1"/>
  <c r="E130" i="1"/>
  <c r="D130" i="1"/>
  <c r="C130" i="1"/>
  <c r="X129" i="1"/>
  <c r="W129" i="1"/>
  <c r="V129" i="1"/>
  <c r="T129" i="1"/>
  <c r="S129" i="1"/>
  <c r="U129" i="1" s="1"/>
  <c r="Q129" i="1"/>
  <c r="I129" i="1"/>
  <c r="J129" i="1" s="1"/>
  <c r="K129" i="1" s="1"/>
  <c r="H129" i="1"/>
  <c r="L129" i="1" s="1"/>
  <c r="G129" i="1"/>
  <c r="E129" i="1"/>
  <c r="D129" i="1"/>
  <c r="C129" i="1"/>
  <c r="X128" i="1"/>
  <c r="W128" i="1"/>
  <c r="V128" i="1"/>
  <c r="T128" i="1"/>
  <c r="Q128" i="1"/>
  <c r="S128" i="1" s="1"/>
  <c r="U128" i="1" s="1"/>
  <c r="I128" i="1"/>
  <c r="J128" i="1" s="1"/>
  <c r="K128" i="1" s="1"/>
  <c r="H128" i="1"/>
  <c r="G128" i="1"/>
  <c r="E128" i="1"/>
  <c r="L128" i="1" s="1"/>
  <c r="D128" i="1"/>
  <c r="C128" i="1"/>
  <c r="X127" i="1"/>
  <c r="W127" i="1"/>
  <c r="V127" i="1"/>
  <c r="T127" i="1"/>
  <c r="Q127" i="1"/>
  <c r="S127" i="1" s="1"/>
  <c r="U127" i="1" s="1"/>
  <c r="J127" i="1"/>
  <c r="K127" i="1" s="1"/>
  <c r="I127" i="1"/>
  <c r="G127" i="1"/>
  <c r="H127" i="1" s="1"/>
  <c r="L127" i="1" s="1"/>
  <c r="E127" i="1"/>
  <c r="D127" i="1"/>
  <c r="C127" i="1"/>
  <c r="X126" i="1"/>
  <c r="W126" i="1"/>
  <c r="V126" i="1"/>
  <c r="T126" i="1"/>
  <c r="S126" i="1"/>
  <c r="U126" i="1" s="1"/>
  <c r="Q126" i="1"/>
  <c r="K126" i="1"/>
  <c r="J126" i="1"/>
  <c r="I126" i="1"/>
  <c r="G126" i="1"/>
  <c r="H126" i="1" s="1"/>
  <c r="E126" i="1"/>
  <c r="D126" i="1"/>
  <c r="C126" i="1"/>
  <c r="X125" i="1"/>
  <c r="W125" i="1"/>
  <c r="V125" i="1"/>
  <c r="T125" i="1"/>
  <c r="S125" i="1"/>
  <c r="U125" i="1" s="1"/>
  <c r="Q125" i="1"/>
  <c r="I125" i="1"/>
  <c r="J125" i="1" s="1"/>
  <c r="K125" i="1" s="1"/>
  <c r="G125" i="1"/>
  <c r="H125" i="1" s="1"/>
  <c r="E125" i="1"/>
  <c r="L125" i="1" s="1"/>
  <c r="D125" i="1"/>
  <c r="C125" i="1"/>
  <c r="X124" i="1"/>
  <c r="W124" i="1"/>
  <c r="V124" i="1"/>
  <c r="U124" i="1"/>
  <c r="T124" i="1"/>
  <c r="Q124" i="1"/>
  <c r="S124" i="1" s="1"/>
  <c r="M124" i="1"/>
  <c r="I124" i="1"/>
  <c r="J124" i="1" s="1"/>
  <c r="K124" i="1" s="1"/>
  <c r="G124" i="1"/>
  <c r="H124" i="1" s="1"/>
  <c r="L124" i="1" s="1"/>
  <c r="E124" i="1"/>
  <c r="D124" i="1"/>
  <c r="C124" i="1"/>
  <c r="X123" i="1"/>
  <c r="W123" i="1"/>
  <c r="V123" i="1"/>
  <c r="T123" i="1"/>
  <c r="Q123" i="1"/>
  <c r="S123" i="1" s="1"/>
  <c r="U123" i="1" s="1"/>
  <c r="I123" i="1"/>
  <c r="J123" i="1" s="1"/>
  <c r="K123" i="1" s="1"/>
  <c r="H123" i="1"/>
  <c r="G123" i="1"/>
  <c r="E123" i="1"/>
  <c r="D123" i="1"/>
  <c r="C123" i="1"/>
  <c r="X122" i="1"/>
  <c r="W122" i="1"/>
  <c r="V122" i="1"/>
  <c r="T122" i="1"/>
  <c r="Q122" i="1"/>
  <c r="S122" i="1" s="1"/>
  <c r="U122" i="1" s="1"/>
  <c r="I122" i="1"/>
  <c r="J122" i="1" s="1"/>
  <c r="K122" i="1" s="1"/>
  <c r="G122" i="1"/>
  <c r="H122" i="1" s="1"/>
  <c r="E122" i="1"/>
  <c r="D122" i="1"/>
  <c r="C122" i="1"/>
  <c r="X121" i="1"/>
  <c r="W121" i="1"/>
  <c r="V121" i="1"/>
  <c r="U121" i="1"/>
  <c r="T121" i="1"/>
  <c r="S121" i="1"/>
  <c r="Q121" i="1"/>
  <c r="I121" i="1"/>
  <c r="J121" i="1" s="1"/>
  <c r="K121" i="1" s="1"/>
  <c r="G121" i="1"/>
  <c r="H121" i="1" s="1"/>
  <c r="E121" i="1"/>
  <c r="D121" i="1"/>
  <c r="C121" i="1"/>
  <c r="X120" i="1"/>
  <c r="W120" i="1"/>
  <c r="V120" i="1"/>
  <c r="T120" i="1"/>
  <c r="Q120" i="1"/>
  <c r="S120" i="1" s="1"/>
  <c r="U120" i="1" s="1"/>
  <c r="M120" i="1"/>
  <c r="I120" i="1"/>
  <c r="J120" i="1" s="1"/>
  <c r="H120" i="1"/>
  <c r="G120" i="1"/>
  <c r="E120" i="1"/>
  <c r="D120" i="1"/>
  <c r="C120" i="1"/>
  <c r="X119" i="1"/>
  <c r="W119" i="1"/>
  <c r="V119" i="1"/>
  <c r="T119" i="1"/>
  <c r="Q119" i="1"/>
  <c r="S119" i="1" s="1"/>
  <c r="U119" i="1" s="1"/>
  <c r="M119" i="1"/>
  <c r="K119" i="1"/>
  <c r="J119" i="1"/>
  <c r="I119" i="1"/>
  <c r="G119" i="1"/>
  <c r="H119" i="1" s="1"/>
  <c r="L119" i="1" s="1"/>
  <c r="E119" i="1"/>
  <c r="D119" i="1"/>
  <c r="C119" i="1"/>
  <c r="X118" i="1"/>
  <c r="W118" i="1"/>
  <c r="V118" i="1"/>
  <c r="T118" i="1"/>
  <c r="Q118" i="1"/>
  <c r="S118" i="1" s="1"/>
  <c r="U118" i="1" s="1"/>
  <c r="M118" i="1"/>
  <c r="J118" i="1"/>
  <c r="K118" i="1" s="1"/>
  <c r="I118" i="1"/>
  <c r="G118" i="1"/>
  <c r="H118" i="1" s="1"/>
  <c r="E118" i="1"/>
  <c r="D118" i="1"/>
  <c r="C118" i="1"/>
  <c r="X117" i="1"/>
  <c r="W117" i="1"/>
  <c r="V117" i="1"/>
  <c r="T117" i="1"/>
  <c r="S117" i="1"/>
  <c r="U117" i="1" s="1"/>
  <c r="Q117" i="1"/>
  <c r="M117" i="1"/>
  <c r="K117" i="1"/>
  <c r="L117" i="1" s="1"/>
  <c r="J117" i="1"/>
  <c r="I117" i="1"/>
  <c r="H117" i="1"/>
  <c r="G117" i="1"/>
  <c r="E117" i="1"/>
  <c r="D117" i="1"/>
  <c r="C117" i="1"/>
  <c r="X116" i="1"/>
  <c r="W116" i="1"/>
  <c r="V116" i="1"/>
  <c r="U116" i="1"/>
  <c r="T116" i="1"/>
  <c r="S116" i="1"/>
  <c r="Q116" i="1"/>
  <c r="I116" i="1"/>
  <c r="J116" i="1" s="1"/>
  <c r="K116" i="1" s="1"/>
  <c r="H116" i="1"/>
  <c r="G116" i="1"/>
  <c r="E116" i="1"/>
  <c r="D116" i="1"/>
  <c r="C116" i="1"/>
  <c r="X115" i="1"/>
  <c r="W115" i="1"/>
  <c r="V115" i="1"/>
  <c r="T115" i="1"/>
  <c r="Q115" i="1"/>
  <c r="S115" i="1" s="1"/>
  <c r="U115" i="1" s="1"/>
  <c r="J115" i="1"/>
  <c r="K115" i="1" s="1"/>
  <c r="I115" i="1"/>
  <c r="G115" i="1"/>
  <c r="H115" i="1" s="1"/>
  <c r="L115" i="1" s="1"/>
  <c r="E115" i="1"/>
  <c r="D115" i="1"/>
  <c r="C115" i="1"/>
  <c r="X114" i="1"/>
  <c r="W114" i="1"/>
  <c r="V114" i="1"/>
  <c r="T114" i="1"/>
  <c r="S114" i="1"/>
  <c r="U114" i="1" s="1"/>
  <c r="Q114" i="1"/>
  <c r="K114" i="1"/>
  <c r="L114" i="1" s="1"/>
  <c r="J114" i="1"/>
  <c r="I114" i="1"/>
  <c r="G114" i="1"/>
  <c r="H114" i="1" s="1"/>
  <c r="E114" i="1"/>
  <c r="D114" i="1"/>
  <c r="C114" i="1"/>
  <c r="X113" i="1"/>
  <c r="W113" i="1"/>
  <c r="V113" i="1"/>
  <c r="U113" i="1"/>
  <c r="T113" i="1"/>
  <c r="S113" i="1"/>
  <c r="Q113" i="1"/>
  <c r="M113" i="1"/>
  <c r="N113" i="1" s="1"/>
  <c r="O113" i="1" s="1"/>
  <c r="L113" i="1"/>
  <c r="I113" i="1"/>
  <c r="J113" i="1" s="1"/>
  <c r="K113" i="1" s="1"/>
  <c r="G113" i="1"/>
  <c r="H113" i="1" s="1"/>
  <c r="E113" i="1"/>
  <c r="D113" i="1"/>
  <c r="C113" i="1"/>
  <c r="X112" i="1"/>
  <c r="W112" i="1"/>
  <c r="V112" i="1"/>
  <c r="T112" i="1"/>
  <c r="Q112" i="1"/>
  <c r="S112" i="1" s="1"/>
  <c r="U112" i="1" s="1"/>
  <c r="M112" i="1"/>
  <c r="I112" i="1"/>
  <c r="J112" i="1" s="1"/>
  <c r="K112" i="1" s="1"/>
  <c r="H112" i="1"/>
  <c r="G112" i="1"/>
  <c r="E112" i="1"/>
  <c r="D112" i="1"/>
  <c r="C112" i="1"/>
  <c r="X111" i="1"/>
  <c r="W111" i="1"/>
  <c r="V111" i="1"/>
  <c r="T111" i="1"/>
  <c r="Q111" i="1"/>
  <c r="S111" i="1" s="1"/>
  <c r="U111" i="1" s="1"/>
  <c r="K111" i="1"/>
  <c r="I111" i="1"/>
  <c r="J111" i="1" s="1"/>
  <c r="G111" i="1"/>
  <c r="H111" i="1" s="1"/>
  <c r="E111" i="1"/>
  <c r="D111" i="1"/>
  <c r="C111" i="1"/>
  <c r="X110" i="1"/>
  <c r="W110" i="1"/>
  <c r="V110" i="1"/>
  <c r="T110" i="1"/>
  <c r="Q110" i="1"/>
  <c r="S110" i="1" s="1"/>
  <c r="U110" i="1" s="1"/>
  <c r="I110" i="1"/>
  <c r="J110" i="1" s="1"/>
  <c r="K110" i="1" s="1"/>
  <c r="G110" i="1"/>
  <c r="H110" i="1" s="1"/>
  <c r="E110" i="1"/>
  <c r="D110" i="1"/>
  <c r="C110" i="1"/>
  <c r="X109" i="1"/>
  <c r="W109" i="1"/>
  <c r="V109" i="1"/>
  <c r="T109" i="1"/>
  <c r="S109" i="1"/>
  <c r="U109" i="1" s="1"/>
  <c r="Q109" i="1"/>
  <c r="I109" i="1"/>
  <c r="J109" i="1" s="1"/>
  <c r="K109" i="1" s="1"/>
  <c r="H109" i="1"/>
  <c r="G109" i="1"/>
  <c r="E109" i="1"/>
  <c r="D109" i="1"/>
  <c r="C109" i="1"/>
  <c r="X108" i="1"/>
  <c r="W108" i="1"/>
  <c r="V108" i="1"/>
  <c r="T108" i="1"/>
  <c r="Q108" i="1"/>
  <c r="S108" i="1" s="1"/>
  <c r="U108" i="1" s="1"/>
  <c r="N108" i="1"/>
  <c r="O108" i="1" s="1"/>
  <c r="M108" i="1"/>
  <c r="I108" i="1"/>
  <c r="J108" i="1" s="1"/>
  <c r="K108" i="1" s="1"/>
  <c r="H108" i="1"/>
  <c r="G108" i="1"/>
  <c r="E108" i="1"/>
  <c r="L108" i="1" s="1"/>
  <c r="D108" i="1"/>
  <c r="C108" i="1"/>
  <c r="X107" i="1"/>
  <c r="W107" i="1"/>
  <c r="V107" i="1"/>
  <c r="U107" i="1"/>
  <c r="T107" i="1"/>
  <c r="Q107" i="1"/>
  <c r="S107" i="1" s="1"/>
  <c r="M107" i="1"/>
  <c r="I107" i="1"/>
  <c r="J107" i="1" s="1"/>
  <c r="K107" i="1" s="1"/>
  <c r="G107" i="1"/>
  <c r="H107" i="1" s="1"/>
  <c r="E107" i="1"/>
  <c r="L107" i="1" s="1"/>
  <c r="D107" i="1"/>
  <c r="C107" i="1"/>
  <c r="X106" i="1"/>
  <c r="W106" i="1"/>
  <c r="V106" i="1"/>
  <c r="T106" i="1"/>
  <c r="Q106" i="1"/>
  <c r="S106" i="1" s="1"/>
  <c r="U106" i="1" s="1"/>
  <c r="J106" i="1"/>
  <c r="K106" i="1" s="1"/>
  <c r="I106" i="1"/>
  <c r="G106" i="1"/>
  <c r="H106" i="1" s="1"/>
  <c r="E106" i="1"/>
  <c r="D106" i="1"/>
  <c r="C106" i="1"/>
  <c r="X105" i="1"/>
  <c r="W105" i="1"/>
  <c r="V105" i="1"/>
  <c r="T105" i="1"/>
  <c r="S105" i="1"/>
  <c r="U105" i="1" s="1"/>
  <c r="Q105" i="1"/>
  <c r="M105" i="1"/>
  <c r="I105" i="1"/>
  <c r="J105" i="1" s="1"/>
  <c r="H105" i="1"/>
  <c r="G105" i="1"/>
  <c r="E105" i="1"/>
  <c r="D105" i="1"/>
  <c r="C105" i="1"/>
  <c r="X104" i="1"/>
  <c r="W104" i="1"/>
  <c r="V104" i="1"/>
  <c r="T104" i="1"/>
  <c r="Q104" i="1"/>
  <c r="S104" i="1" s="1"/>
  <c r="U104" i="1" s="1"/>
  <c r="I104" i="1"/>
  <c r="J104" i="1" s="1"/>
  <c r="H104" i="1"/>
  <c r="G104" i="1"/>
  <c r="E104" i="1"/>
  <c r="D104" i="1"/>
  <c r="C104" i="1"/>
  <c r="X103" i="1"/>
  <c r="W103" i="1"/>
  <c r="V103" i="1"/>
  <c r="T103" i="1"/>
  <c r="S103" i="1"/>
  <c r="U103" i="1" s="1"/>
  <c r="Q103" i="1"/>
  <c r="K103" i="1"/>
  <c r="J103" i="1"/>
  <c r="L103" i="1" s="1"/>
  <c r="I103" i="1"/>
  <c r="G103" i="1"/>
  <c r="H103" i="1" s="1"/>
  <c r="E103" i="1"/>
  <c r="D103" i="1"/>
  <c r="C103" i="1"/>
  <c r="X102" i="1"/>
  <c r="W102" i="1"/>
  <c r="V102" i="1"/>
  <c r="T102" i="1"/>
  <c r="S102" i="1"/>
  <c r="U102" i="1" s="1"/>
  <c r="Q102" i="1"/>
  <c r="I102" i="1"/>
  <c r="J102" i="1" s="1"/>
  <c r="K102" i="1" s="1"/>
  <c r="H102" i="1"/>
  <c r="L102" i="1" s="1"/>
  <c r="G102" i="1"/>
  <c r="E102" i="1"/>
  <c r="D102" i="1"/>
  <c r="C102" i="1"/>
  <c r="X101" i="1"/>
  <c r="W101" i="1"/>
  <c r="V101" i="1"/>
  <c r="T101" i="1"/>
  <c r="Q101" i="1"/>
  <c r="S101" i="1" s="1"/>
  <c r="U101" i="1" s="1"/>
  <c r="I101" i="1"/>
  <c r="J101" i="1" s="1"/>
  <c r="K101" i="1" s="1"/>
  <c r="G101" i="1"/>
  <c r="H101" i="1" s="1"/>
  <c r="E101" i="1"/>
  <c r="L101" i="1" s="1"/>
  <c r="D101" i="1"/>
  <c r="C101" i="1"/>
  <c r="X100" i="1"/>
  <c r="W100" i="1"/>
  <c r="V100" i="1"/>
  <c r="U100" i="1"/>
  <c r="T100" i="1"/>
  <c r="Q100" i="1"/>
  <c r="S100" i="1" s="1"/>
  <c r="M100" i="1"/>
  <c r="I100" i="1"/>
  <c r="J100" i="1" s="1"/>
  <c r="K100" i="1" s="1"/>
  <c r="G100" i="1"/>
  <c r="H100" i="1" s="1"/>
  <c r="L100" i="1" s="1"/>
  <c r="E100" i="1"/>
  <c r="D100" i="1"/>
  <c r="C100" i="1"/>
  <c r="X99" i="1"/>
  <c r="W99" i="1"/>
  <c r="V99" i="1"/>
  <c r="T99" i="1"/>
  <c r="Q99" i="1"/>
  <c r="S99" i="1" s="1"/>
  <c r="U99" i="1" s="1"/>
  <c r="I99" i="1"/>
  <c r="J99" i="1" s="1"/>
  <c r="K99" i="1" s="1"/>
  <c r="H99" i="1"/>
  <c r="G99" i="1"/>
  <c r="E99" i="1"/>
  <c r="D99" i="1"/>
  <c r="C99" i="1"/>
  <c r="X98" i="1"/>
  <c r="W98" i="1"/>
  <c r="V98" i="1"/>
  <c r="T98" i="1"/>
  <c r="Q98" i="1"/>
  <c r="S98" i="1" s="1"/>
  <c r="U98" i="1" s="1"/>
  <c r="M98" i="1"/>
  <c r="I98" i="1"/>
  <c r="J98" i="1" s="1"/>
  <c r="K98" i="1" s="1"/>
  <c r="G98" i="1"/>
  <c r="H98" i="1" s="1"/>
  <c r="E98" i="1"/>
  <c r="D98" i="1"/>
  <c r="C98" i="1"/>
  <c r="X97" i="1"/>
  <c r="W97" i="1"/>
  <c r="V97" i="1"/>
  <c r="T97" i="1"/>
  <c r="Q97" i="1"/>
  <c r="S97" i="1" s="1"/>
  <c r="U97" i="1" s="1"/>
  <c r="M97" i="1"/>
  <c r="I97" i="1"/>
  <c r="J97" i="1" s="1"/>
  <c r="K97" i="1" s="1"/>
  <c r="G97" i="1"/>
  <c r="H97" i="1" s="1"/>
  <c r="E97" i="1"/>
  <c r="D97" i="1"/>
  <c r="C97" i="1"/>
  <c r="X96" i="1"/>
  <c r="W96" i="1"/>
  <c r="V96" i="1"/>
  <c r="T96" i="1"/>
  <c r="S96" i="1"/>
  <c r="U96" i="1" s="1"/>
  <c r="Q96" i="1"/>
  <c r="M96" i="1"/>
  <c r="K96" i="1"/>
  <c r="L96" i="1" s="1"/>
  <c r="I96" i="1"/>
  <c r="J96" i="1" s="1"/>
  <c r="H96" i="1"/>
  <c r="G96" i="1"/>
  <c r="E96" i="1"/>
  <c r="D96" i="1"/>
  <c r="C96" i="1"/>
  <c r="X95" i="1"/>
  <c r="W95" i="1"/>
  <c r="V95" i="1"/>
  <c r="T95" i="1"/>
  <c r="Q95" i="1"/>
  <c r="S95" i="1" s="1"/>
  <c r="U95" i="1" s="1"/>
  <c r="M95" i="1"/>
  <c r="I95" i="1"/>
  <c r="J95" i="1" s="1"/>
  <c r="K95" i="1" s="1"/>
  <c r="G95" i="1"/>
  <c r="H95" i="1" s="1"/>
  <c r="E95" i="1"/>
  <c r="D95" i="1"/>
  <c r="C95" i="1"/>
  <c r="X94" i="1"/>
  <c r="W94" i="1"/>
  <c r="V94" i="1"/>
  <c r="T94" i="1"/>
  <c r="Q94" i="1"/>
  <c r="S94" i="1" s="1"/>
  <c r="U94" i="1" s="1"/>
  <c r="M94" i="1"/>
  <c r="J94" i="1"/>
  <c r="K94" i="1" s="1"/>
  <c r="I94" i="1"/>
  <c r="H94" i="1"/>
  <c r="G94" i="1"/>
  <c r="E94" i="1"/>
  <c r="D94" i="1"/>
  <c r="C94" i="1"/>
  <c r="X93" i="1"/>
  <c r="W93" i="1"/>
  <c r="V93" i="1"/>
  <c r="T93" i="1"/>
  <c r="S93" i="1"/>
  <c r="U93" i="1" s="1"/>
  <c r="Q93" i="1"/>
  <c r="I93" i="1"/>
  <c r="J93" i="1" s="1"/>
  <c r="K93" i="1" s="1"/>
  <c r="H93" i="1"/>
  <c r="G93" i="1"/>
  <c r="E93" i="1"/>
  <c r="D93" i="1"/>
  <c r="C93" i="1"/>
  <c r="X92" i="1"/>
  <c r="W92" i="1"/>
  <c r="V92" i="1"/>
  <c r="T92" i="1"/>
  <c r="Q92" i="1"/>
  <c r="S92" i="1" s="1"/>
  <c r="U92" i="1" s="1"/>
  <c r="I92" i="1"/>
  <c r="J92" i="1" s="1"/>
  <c r="K92" i="1" s="1"/>
  <c r="H92" i="1"/>
  <c r="L92" i="1" s="1"/>
  <c r="G92" i="1"/>
  <c r="E92" i="1"/>
  <c r="D92" i="1"/>
  <c r="C92" i="1"/>
  <c r="X91" i="1"/>
  <c r="W91" i="1"/>
  <c r="V91" i="1"/>
  <c r="T91" i="1"/>
  <c r="Q91" i="1"/>
  <c r="S91" i="1" s="1"/>
  <c r="U91" i="1" s="1"/>
  <c r="O91" i="1"/>
  <c r="M91" i="1"/>
  <c r="K91" i="1"/>
  <c r="J91" i="1"/>
  <c r="I91" i="1"/>
  <c r="G91" i="1"/>
  <c r="H91" i="1" s="1"/>
  <c r="L91" i="1" s="1"/>
  <c r="N91" i="1" s="1"/>
  <c r="E91" i="1"/>
  <c r="D91" i="1"/>
  <c r="C91" i="1"/>
  <c r="X90" i="1"/>
  <c r="W90" i="1"/>
  <c r="V90" i="1"/>
  <c r="T90" i="1"/>
  <c r="S90" i="1"/>
  <c r="U90" i="1" s="1"/>
  <c r="Q90" i="1"/>
  <c r="I90" i="1"/>
  <c r="J90" i="1" s="1"/>
  <c r="H90" i="1"/>
  <c r="G90" i="1"/>
  <c r="E90" i="1"/>
  <c r="D90" i="1"/>
  <c r="C90" i="1"/>
  <c r="X89" i="1"/>
  <c r="W89" i="1"/>
  <c r="V89" i="1"/>
  <c r="T89" i="1"/>
  <c r="S89" i="1"/>
  <c r="U89" i="1" s="1"/>
  <c r="Q89" i="1"/>
  <c r="M89" i="1"/>
  <c r="I89" i="1"/>
  <c r="J89" i="1" s="1"/>
  <c r="G89" i="1"/>
  <c r="H89" i="1" s="1"/>
  <c r="E89" i="1"/>
  <c r="D89" i="1"/>
  <c r="C89" i="1"/>
  <c r="X88" i="1"/>
  <c r="W88" i="1"/>
  <c r="V88" i="1"/>
  <c r="T88" i="1"/>
  <c r="S88" i="1"/>
  <c r="U88" i="1" s="1"/>
  <c r="Q88" i="1"/>
  <c r="I88" i="1"/>
  <c r="J88" i="1" s="1"/>
  <c r="K88" i="1" s="1"/>
  <c r="H88" i="1"/>
  <c r="L88" i="1" s="1"/>
  <c r="G88" i="1"/>
  <c r="E88" i="1"/>
  <c r="D88" i="1"/>
  <c r="C88" i="1"/>
  <c r="X87" i="1"/>
  <c r="W87" i="1"/>
  <c r="V87" i="1"/>
  <c r="T87" i="1"/>
  <c r="Q87" i="1"/>
  <c r="S87" i="1" s="1"/>
  <c r="U87" i="1" s="1"/>
  <c r="I87" i="1"/>
  <c r="J87" i="1" s="1"/>
  <c r="K87" i="1" s="1"/>
  <c r="G87" i="1"/>
  <c r="H87" i="1" s="1"/>
  <c r="E87" i="1"/>
  <c r="L87" i="1" s="1"/>
  <c r="D87" i="1"/>
  <c r="C87" i="1"/>
  <c r="X86" i="1"/>
  <c r="W86" i="1"/>
  <c r="V86" i="1"/>
  <c r="U86" i="1"/>
  <c r="T86" i="1"/>
  <c r="Q86" i="1"/>
  <c r="S86" i="1" s="1"/>
  <c r="M86" i="1"/>
  <c r="I86" i="1"/>
  <c r="J86" i="1" s="1"/>
  <c r="K86" i="1" s="1"/>
  <c r="G86" i="1"/>
  <c r="H86" i="1" s="1"/>
  <c r="E86" i="1"/>
  <c r="L86" i="1" s="1"/>
  <c r="D86" i="1"/>
  <c r="C86" i="1"/>
  <c r="X85" i="1"/>
  <c r="W85" i="1"/>
  <c r="V85" i="1"/>
  <c r="T85" i="1"/>
  <c r="Q85" i="1"/>
  <c r="S85" i="1" s="1"/>
  <c r="U85" i="1" s="1"/>
  <c r="M85" i="1"/>
  <c r="K85" i="1"/>
  <c r="J85" i="1"/>
  <c r="I85" i="1"/>
  <c r="G85" i="1"/>
  <c r="H85" i="1" s="1"/>
  <c r="E85" i="1"/>
  <c r="D85" i="1"/>
  <c r="C85" i="1"/>
  <c r="X84" i="1"/>
  <c r="W84" i="1"/>
  <c r="V84" i="1"/>
  <c r="T84" i="1"/>
  <c r="S84" i="1"/>
  <c r="U84" i="1" s="1"/>
  <c r="Q84" i="1"/>
  <c r="K84" i="1"/>
  <c r="I84" i="1"/>
  <c r="J84" i="1" s="1"/>
  <c r="H84" i="1"/>
  <c r="G84" i="1"/>
  <c r="E84" i="1"/>
  <c r="L84" i="1" s="1"/>
  <c r="D84" i="1"/>
  <c r="C84" i="1"/>
  <c r="X83" i="1"/>
  <c r="W83" i="1"/>
  <c r="V83" i="1"/>
  <c r="T83" i="1"/>
  <c r="Q83" i="1"/>
  <c r="S83" i="1" s="1"/>
  <c r="U83" i="1" s="1"/>
  <c r="M83" i="1"/>
  <c r="I83" i="1"/>
  <c r="J83" i="1" s="1"/>
  <c r="H83" i="1"/>
  <c r="G83" i="1"/>
  <c r="F83" i="1"/>
  <c r="E83" i="1"/>
  <c r="D83" i="1"/>
  <c r="C83" i="1"/>
  <c r="X82" i="1"/>
  <c r="W82" i="1"/>
  <c r="V82" i="1"/>
  <c r="T82" i="1"/>
  <c r="S82" i="1"/>
  <c r="U82" i="1" s="1"/>
  <c r="Q82" i="1"/>
  <c r="I82" i="1"/>
  <c r="J82" i="1" s="1"/>
  <c r="K82" i="1" s="1"/>
  <c r="G82" i="1"/>
  <c r="H82" i="1" s="1"/>
  <c r="E82" i="1"/>
  <c r="D82" i="1"/>
  <c r="C82" i="1"/>
  <c r="X81" i="1"/>
  <c r="W81" i="1"/>
  <c r="V81" i="1"/>
  <c r="T81" i="1"/>
  <c r="Q81" i="1"/>
  <c r="S81" i="1" s="1"/>
  <c r="U81" i="1" s="1"/>
  <c r="M81" i="1"/>
  <c r="K81" i="1"/>
  <c r="J81" i="1"/>
  <c r="I81" i="1"/>
  <c r="G81" i="1"/>
  <c r="H81" i="1" s="1"/>
  <c r="E81" i="1"/>
  <c r="D81" i="1"/>
  <c r="C81" i="1"/>
  <c r="X80" i="1"/>
  <c r="W80" i="1"/>
  <c r="V80" i="1"/>
  <c r="T80" i="1"/>
  <c r="Q80" i="1"/>
  <c r="S80" i="1" s="1"/>
  <c r="U80" i="1" s="1"/>
  <c r="M80" i="1"/>
  <c r="I80" i="1"/>
  <c r="J80" i="1" s="1"/>
  <c r="K80" i="1" s="1"/>
  <c r="G80" i="1"/>
  <c r="H80" i="1" s="1"/>
  <c r="E80" i="1"/>
  <c r="D80" i="1"/>
  <c r="C80" i="1"/>
  <c r="X79" i="1"/>
  <c r="W79" i="1"/>
  <c r="V79" i="1"/>
  <c r="T79" i="1"/>
  <c r="S79" i="1"/>
  <c r="U79" i="1" s="1"/>
  <c r="Q79" i="1"/>
  <c r="I79" i="1"/>
  <c r="J79" i="1" s="1"/>
  <c r="K79" i="1" s="1"/>
  <c r="G79" i="1"/>
  <c r="H79" i="1" s="1"/>
  <c r="E79" i="1"/>
  <c r="D79" i="1"/>
  <c r="C79" i="1"/>
  <c r="X78" i="1"/>
  <c r="W78" i="1"/>
  <c r="V78" i="1"/>
  <c r="U78" i="1"/>
  <c r="T78" i="1"/>
  <c r="Q78" i="1"/>
  <c r="S78" i="1" s="1"/>
  <c r="M78" i="1"/>
  <c r="N78" i="1" s="1"/>
  <c r="O78" i="1" s="1"/>
  <c r="K78" i="1"/>
  <c r="J78" i="1"/>
  <c r="I78" i="1"/>
  <c r="G78" i="1"/>
  <c r="H78" i="1" s="1"/>
  <c r="E78" i="1"/>
  <c r="L78" i="1" s="1"/>
  <c r="D78" i="1"/>
  <c r="C78" i="1"/>
  <c r="X77" i="1"/>
  <c r="W77" i="1"/>
  <c r="V77" i="1"/>
  <c r="U77" i="1"/>
  <c r="T77" i="1"/>
  <c r="S77" i="1"/>
  <c r="Q77" i="1"/>
  <c r="M77" i="1"/>
  <c r="I77" i="1"/>
  <c r="J77" i="1" s="1"/>
  <c r="K77" i="1" s="1"/>
  <c r="G77" i="1"/>
  <c r="H77" i="1" s="1"/>
  <c r="E77" i="1"/>
  <c r="D77" i="1"/>
  <c r="C77" i="1"/>
  <c r="X76" i="1"/>
  <c r="W76" i="1"/>
  <c r="V76" i="1"/>
  <c r="T76" i="1"/>
  <c r="Q76" i="1"/>
  <c r="S76" i="1" s="1"/>
  <c r="U76" i="1" s="1"/>
  <c r="M76" i="1"/>
  <c r="I76" i="1"/>
  <c r="J76" i="1" s="1"/>
  <c r="K76" i="1" s="1"/>
  <c r="H76" i="1"/>
  <c r="G76" i="1"/>
  <c r="E76" i="1"/>
  <c r="D76" i="1"/>
  <c r="C76" i="1"/>
  <c r="X75" i="1"/>
  <c r="W75" i="1"/>
  <c r="V75" i="1"/>
  <c r="U75" i="1"/>
  <c r="T75" i="1"/>
  <c r="Q75" i="1"/>
  <c r="S75" i="1" s="1"/>
  <c r="M75" i="1"/>
  <c r="I75" i="1"/>
  <c r="J75" i="1" s="1"/>
  <c r="K75" i="1" s="1"/>
  <c r="G75" i="1"/>
  <c r="H75" i="1" s="1"/>
  <c r="L75" i="1" s="1"/>
  <c r="E75" i="1"/>
  <c r="D75" i="1"/>
  <c r="C75" i="1"/>
  <c r="X74" i="1"/>
  <c r="W74" i="1"/>
  <c r="V74" i="1"/>
  <c r="T74" i="1"/>
  <c r="Q74" i="1"/>
  <c r="S74" i="1" s="1"/>
  <c r="U74" i="1" s="1"/>
  <c r="M74" i="1"/>
  <c r="N74" i="1" s="1"/>
  <c r="O74" i="1" s="1"/>
  <c r="J74" i="1"/>
  <c r="K74" i="1" s="1"/>
  <c r="I74" i="1"/>
  <c r="H74" i="1"/>
  <c r="L74" i="1" s="1"/>
  <c r="G74" i="1"/>
  <c r="E74" i="1"/>
  <c r="D74" i="1"/>
  <c r="C74" i="1"/>
  <c r="X73" i="1"/>
  <c r="W73" i="1"/>
  <c r="V73" i="1"/>
  <c r="U73" i="1"/>
  <c r="T73" i="1"/>
  <c r="S73" i="1"/>
  <c r="Q73" i="1"/>
  <c r="M73" i="1"/>
  <c r="I73" i="1"/>
  <c r="J73" i="1" s="1"/>
  <c r="K73" i="1" s="1"/>
  <c r="H73" i="1"/>
  <c r="G73" i="1"/>
  <c r="E73" i="1"/>
  <c r="D73" i="1"/>
  <c r="C73" i="1"/>
  <c r="X72" i="1"/>
  <c r="W72" i="1"/>
  <c r="V72" i="1"/>
  <c r="T72" i="1"/>
  <c r="Q72" i="1"/>
  <c r="S72" i="1" s="1"/>
  <c r="U72" i="1" s="1"/>
  <c r="M72" i="1"/>
  <c r="I72" i="1"/>
  <c r="J72" i="1" s="1"/>
  <c r="K72" i="1" s="1"/>
  <c r="H72" i="1"/>
  <c r="G72" i="1"/>
  <c r="F72" i="1"/>
  <c r="E72" i="1"/>
  <c r="D72" i="1"/>
  <c r="C72" i="1"/>
  <c r="X71" i="1"/>
  <c r="W71" i="1"/>
  <c r="V71" i="1"/>
  <c r="T71" i="1"/>
  <c r="Q71" i="1"/>
  <c r="S71" i="1" s="1"/>
  <c r="U71" i="1" s="1"/>
  <c r="M71" i="1"/>
  <c r="I71" i="1"/>
  <c r="J71" i="1" s="1"/>
  <c r="H71" i="1"/>
  <c r="G71" i="1"/>
  <c r="F71" i="1"/>
  <c r="E71" i="1"/>
  <c r="D71" i="1"/>
  <c r="C71" i="1"/>
  <c r="X70" i="1"/>
  <c r="W70" i="1"/>
  <c r="V70" i="1"/>
  <c r="T70" i="1"/>
  <c r="S70" i="1"/>
  <c r="U70" i="1" s="1"/>
  <c r="Q70" i="1"/>
  <c r="M70" i="1"/>
  <c r="J70" i="1"/>
  <c r="K70" i="1" s="1"/>
  <c r="I70" i="1"/>
  <c r="G70" i="1"/>
  <c r="H70" i="1" s="1"/>
  <c r="E70" i="1"/>
  <c r="D70" i="1"/>
  <c r="C70" i="1"/>
  <c r="X69" i="1"/>
  <c r="W69" i="1"/>
  <c r="V69" i="1"/>
  <c r="T69" i="1"/>
  <c r="S69" i="1"/>
  <c r="U69" i="1" s="1"/>
  <c r="Q69" i="1"/>
  <c r="M69" i="1"/>
  <c r="N69" i="1" s="1"/>
  <c r="O69" i="1" s="1"/>
  <c r="L69" i="1"/>
  <c r="K69" i="1"/>
  <c r="I69" i="1"/>
  <c r="J69" i="1" s="1"/>
  <c r="G69" i="1"/>
  <c r="H69" i="1" s="1"/>
  <c r="E69" i="1"/>
  <c r="D69" i="1"/>
  <c r="C69" i="1"/>
  <c r="X68" i="1"/>
  <c r="W68" i="1"/>
  <c r="V68" i="1"/>
  <c r="T68" i="1"/>
  <c r="Q68" i="1"/>
  <c r="S68" i="1" s="1"/>
  <c r="U68" i="1" s="1"/>
  <c r="M68" i="1"/>
  <c r="J68" i="1"/>
  <c r="K68" i="1" s="1"/>
  <c r="I68" i="1"/>
  <c r="G68" i="1"/>
  <c r="H68" i="1" s="1"/>
  <c r="E68" i="1"/>
  <c r="D68" i="1"/>
  <c r="C68" i="1"/>
  <c r="X67" i="1"/>
  <c r="W67" i="1"/>
  <c r="V67" i="1"/>
  <c r="T67" i="1"/>
  <c r="S67" i="1"/>
  <c r="U67" i="1" s="1"/>
  <c r="Q67" i="1"/>
  <c r="M67" i="1"/>
  <c r="J67" i="1"/>
  <c r="K67" i="1" s="1"/>
  <c r="I67" i="1"/>
  <c r="G67" i="1"/>
  <c r="H67" i="1" s="1"/>
  <c r="E67" i="1"/>
  <c r="D67" i="1"/>
  <c r="C67" i="1"/>
  <c r="X66" i="1"/>
  <c r="W66" i="1"/>
  <c r="V66" i="1"/>
  <c r="T66" i="1"/>
  <c r="S66" i="1"/>
  <c r="U66" i="1" s="1"/>
  <c r="Q66" i="1"/>
  <c r="K66" i="1"/>
  <c r="I66" i="1"/>
  <c r="J66" i="1" s="1"/>
  <c r="G66" i="1"/>
  <c r="H66" i="1" s="1"/>
  <c r="E66" i="1"/>
  <c r="L66" i="1" s="1"/>
  <c r="D66" i="1"/>
  <c r="C66" i="1"/>
  <c r="X65" i="1"/>
  <c r="W65" i="1"/>
  <c r="V65" i="1"/>
  <c r="U65" i="1"/>
  <c r="T65" i="1"/>
  <c r="Q65" i="1"/>
  <c r="S65" i="1" s="1"/>
  <c r="M65" i="1"/>
  <c r="N65" i="1" s="1"/>
  <c r="O65" i="1" s="1"/>
  <c r="L65" i="1"/>
  <c r="I65" i="1"/>
  <c r="J65" i="1" s="1"/>
  <c r="K65" i="1" s="1"/>
  <c r="G65" i="1"/>
  <c r="H65" i="1" s="1"/>
  <c r="E65" i="1"/>
  <c r="D65" i="1"/>
  <c r="C65" i="1"/>
  <c r="X64" i="1"/>
  <c r="W64" i="1"/>
  <c r="V64" i="1"/>
  <c r="T64" i="1"/>
  <c r="Q64" i="1"/>
  <c r="S64" i="1" s="1"/>
  <c r="U64" i="1" s="1"/>
  <c r="M64" i="1"/>
  <c r="I64" i="1"/>
  <c r="J64" i="1" s="1"/>
  <c r="K64" i="1" s="1"/>
  <c r="G64" i="1"/>
  <c r="H64" i="1" s="1"/>
  <c r="E64" i="1"/>
  <c r="D64" i="1"/>
  <c r="C64" i="1"/>
  <c r="X63" i="1"/>
  <c r="W63" i="1"/>
  <c r="V63" i="1"/>
  <c r="T63" i="1"/>
  <c r="S63" i="1"/>
  <c r="U63" i="1" s="1"/>
  <c r="Q63" i="1"/>
  <c r="I63" i="1"/>
  <c r="J63" i="1" s="1"/>
  <c r="K63" i="1" s="1"/>
  <c r="H63" i="1"/>
  <c r="G63" i="1"/>
  <c r="E63" i="1"/>
  <c r="D63" i="1"/>
  <c r="C63" i="1"/>
  <c r="X62" i="1"/>
  <c r="W62" i="1"/>
  <c r="V62" i="1"/>
  <c r="T62" i="1"/>
  <c r="Q62" i="1"/>
  <c r="S62" i="1" s="1"/>
  <c r="U62" i="1" s="1"/>
  <c r="M62" i="1"/>
  <c r="I62" i="1"/>
  <c r="J62" i="1" s="1"/>
  <c r="H62" i="1"/>
  <c r="G62" i="1"/>
  <c r="E62" i="1"/>
  <c r="D62" i="1"/>
  <c r="C62" i="1"/>
  <c r="X61" i="1"/>
  <c r="W61" i="1"/>
  <c r="V61" i="1"/>
  <c r="T61" i="1"/>
  <c r="Q61" i="1"/>
  <c r="S61" i="1" s="1"/>
  <c r="U61" i="1" s="1"/>
  <c r="M61" i="1"/>
  <c r="K61" i="1"/>
  <c r="J61" i="1"/>
  <c r="I61" i="1"/>
  <c r="G61" i="1"/>
  <c r="H61" i="1" s="1"/>
  <c r="E61" i="1"/>
  <c r="L61" i="1" s="1"/>
  <c r="D61" i="1"/>
  <c r="C61" i="1"/>
  <c r="X60" i="1"/>
  <c r="W60" i="1"/>
  <c r="V60" i="1"/>
  <c r="U60" i="1"/>
  <c r="T60" i="1"/>
  <c r="S60" i="1"/>
  <c r="Q60" i="1"/>
  <c r="M60" i="1"/>
  <c r="N60" i="1" s="1"/>
  <c r="O60" i="1" s="1"/>
  <c r="L60" i="1"/>
  <c r="K60" i="1"/>
  <c r="J60" i="1"/>
  <c r="I60" i="1"/>
  <c r="G60" i="1"/>
  <c r="H60" i="1" s="1"/>
  <c r="E60" i="1"/>
  <c r="D60" i="1"/>
  <c r="C60" i="1"/>
  <c r="X59" i="1"/>
  <c r="W59" i="1"/>
  <c r="V59" i="1"/>
  <c r="U59" i="1"/>
  <c r="T59" i="1"/>
  <c r="S59" i="1"/>
  <c r="Q59" i="1"/>
  <c r="M59" i="1"/>
  <c r="I59" i="1"/>
  <c r="J59" i="1" s="1"/>
  <c r="K59" i="1" s="1"/>
  <c r="H59" i="1"/>
  <c r="G59" i="1"/>
  <c r="E59" i="1"/>
  <c r="D59" i="1"/>
  <c r="C59" i="1"/>
  <c r="X58" i="1"/>
  <c r="W58" i="1"/>
  <c r="V58" i="1"/>
  <c r="T58" i="1"/>
  <c r="Q58" i="1"/>
  <c r="S58" i="1" s="1"/>
  <c r="U58" i="1" s="1"/>
  <c r="M58" i="1"/>
  <c r="I58" i="1"/>
  <c r="J58" i="1" s="1"/>
  <c r="K58" i="1" s="1"/>
  <c r="G58" i="1"/>
  <c r="H58" i="1" s="1"/>
  <c r="L58" i="1" s="1"/>
  <c r="N58" i="1" s="1"/>
  <c r="O58" i="1" s="1"/>
  <c r="E58" i="1"/>
  <c r="D58" i="1"/>
  <c r="C58" i="1"/>
  <c r="X57" i="1"/>
  <c r="W57" i="1"/>
  <c r="V57" i="1"/>
  <c r="T57" i="1"/>
  <c r="Q57" i="1"/>
  <c r="S57" i="1" s="1"/>
  <c r="U57" i="1" s="1"/>
  <c r="M57" i="1"/>
  <c r="J57" i="1"/>
  <c r="K57" i="1" s="1"/>
  <c r="I57" i="1"/>
  <c r="H57" i="1"/>
  <c r="G57" i="1"/>
  <c r="E57" i="1"/>
  <c r="D57" i="1"/>
  <c r="C57" i="1"/>
  <c r="X56" i="1"/>
  <c r="W56" i="1"/>
  <c r="V56" i="1"/>
  <c r="T56" i="1"/>
  <c r="Q56" i="1"/>
  <c r="S56" i="1" s="1"/>
  <c r="U56" i="1" s="1"/>
  <c r="M56" i="1"/>
  <c r="I56" i="1"/>
  <c r="J56" i="1" s="1"/>
  <c r="K56" i="1" s="1"/>
  <c r="G56" i="1"/>
  <c r="H56" i="1" s="1"/>
  <c r="E56" i="1"/>
  <c r="D56" i="1"/>
  <c r="C56" i="1"/>
  <c r="X55" i="1"/>
  <c r="W55" i="1"/>
  <c r="V55" i="1"/>
  <c r="T55" i="1"/>
  <c r="S55" i="1"/>
  <c r="U55" i="1" s="1"/>
  <c r="Q55" i="1"/>
  <c r="M55" i="1"/>
  <c r="K55" i="1"/>
  <c r="L55" i="1" s="1"/>
  <c r="J55" i="1"/>
  <c r="I55" i="1"/>
  <c r="G55" i="1"/>
  <c r="H55" i="1" s="1"/>
  <c r="E55" i="1"/>
  <c r="D55" i="1"/>
  <c r="C55" i="1"/>
  <c r="X54" i="1"/>
  <c r="W54" i="1"/>
  <c r="V54" i="1"/>
  <c r="T54" i="1"/>
  <c r="S54" i="1"/>
  <c r="U54" i="1" s="1"/>
  <c r="Q54" i="1"/>
  <c r="M54" i="1"/>
  <c r="I54" i="1"/>
  <c r="J54" i="1" s="1"/>
  <c r="K54" i="1" s="1"/>
  <c r="H54" i="1"/>
  <c r="G54" i="1"/>
  <c r="E54" i="1"/>
  <c r="L54" i="1" s="1"/>
  <c r="D54" i="1"/>
  <c r="C54" i="1"/>
  <c r="X53" i="1"/>
  <c r="W53" i="1"/>
  <c r="V53" i="1"/>
  <c r="T53" i="1"/>
  <c r="Q53" i="1"/>
  <c r="S53" i="1" s="1"/>
  <c r="U53" i="1" s="1"/>
  <c r="M53" i="1"/>
  <c r="I53" i="1"/>
  <c r="J53" i="1" s="1"/>
  <c r="K53" i="1" s="1"/>
  <c r="G53" i="1"/>
  <c r="H53" i="1" s="1"/>
  <c r="E53" i="1"/>
  <c r="L53" i="1" s="1"/>
  <c r="N53" i="1" s="1"/>
  <c r="O53" i="1" s="1"/>
  <c r="D53" i="1"/>
  <c r="C53" i="1"/>
  <c r="X52" i="1"/>
  <c r="W52" i="1"/>
  <c r="V52" i="1"/>
  <c r="U52" i="1"/>
  <c r="T52" i="1"/>
  <c r="Q52" i="1"/>
  <c r="S52" i="1" s="1"/>
  <c r="M52" i="1"/>
  <c r="J52" i="1"/>
  <c r="K52" i="1" s="1"/>
  <c r="I52" i="1"/>
  <c r="G52" i="1"/>
  <c r="H52" i="1" s="1"/>
  <c r="E52" i="1"/>
  <c r="D52" i="1"/>
  <c r="C52" i="1"/>
  <c r="X51" i="1"/>
  <c r="W51" i="1"/>
  <c r="V51" i="1"/>
  <c r="T51" i="1"/>
  <c r="Q51" i="1"/>
  <c r="S51" i="1" s="1"/>
  <c r="U51" i="1" s="1"/>
  <c r="M51" i="1"/>
  <c r="I51" i="1"/>
  <c r="J51" i="1" s="1"/>
  <c r="K51" i="1" s="1"/>
  <c r="H51" i="1"/>
  <c r="G51" i="1"/>
  <c r="E51" i="1"/>
  <c r="D51" i="1"/>
  <c r="C51" i="1"/>
  <c r="X50" i="1"/>
  <c r="W50" i="1"/>
  <c r="V50" i="1"/>
  <c r="T50" i="1"/>
  <c r="Q50" i="1"/>
  <c r="S50" i="1" s="1"/>
  <c r="U50" i="1" s="1"/>
  <c r="M50" i="1"/>
  <c r="I50" i="1"/>
  <c r="J50" i="1" s="1"/>
  <c r="K50" i="1" s="1"/>
  <c r="H50" i="1"/>
  <c r="L50" i="1" s="1"/>
  <c r="G50" i="1"/>
  <c r="E50" i="1"/>
  <c r="D50" i="1"/>
  <c r="C50" i="1"/>
  <c r="X49" i="1"/>
  <c r="W49" i="1"/>
  <c r="V49" i="1"/>
  <c r="T49" i="1"/>
  <c r="Q49" i="1"/>
  <c r="S49" i="1" s="1"/>
  <c r="U49" i="1" s="1"/>
  <c r="L49" i="1"/>
  <c r="K49" i="1"/>
  <c r="J49" i="1"/>
  <c r="I49" i="1"/>
  <c r="G49" i="1"/>
  <c r="H49" i="1" s="1"/>
  <c r="E49" i="1"/>
  <c r="D49" i="1"/>
  <c r="C49" i="1"/>
  <c r="X48" i="1"/>
  <c r="W48" i="1"/>
  <c r="V48" i="1"/>
  <c r="U48" i="1"/>
  <c r="T48" i="1"/>
  <c r="S48" i="1"/>
  <c r="Q48" i="1"/>
  <c r="M48" i="1"/>
  <c r="N48" i="1" s="1"/>
  <c r="O48" i="1" s="1"/>
  <c r="K48" i="1"/>
  <c r="J48" i="1"/>
  <c r="I48" i="1"/>
  <c r="G48" i="1"/>
  <c r="H48" i="1" s="1"/>
  <c r="E48" i="1"/>
  <c r="L48" i="1" s="1"/>
  <c r="D48" i="1"/>
  <c r="C48" i="1"/>
  <c r="X47" i="1"/>
  <c r="W47" i="1"/>
  <c r="V47" i="1"/>
  <c r="T47" i="1"/>
  <c r="S47" i="1"/>
  <c r="U47" i="1" s="1"/>
  <c r="Q47" i="1"/>
  <c r="M47" i="1"/>
  <c r="I47" i="1"/>
  <c r="J47" i="1" s="1"/>
  <c r="K47" i="1" s="1"/>
  <c r="H47" i="1"/>
  <c r="L47" i="1" s="1"/>
  <c r="N47" i="1" s="1"/>
  <c r="O47" i="1" s="1"/>
  <c r="G47" i="1"/>
  <c r="F47" i="1"/>
  <c r="E47" i="1"/>
  <c r="D47" i="1"/>
  <c r="C47" i="1"/>
  <c r="X46" i="1"/>
  <c r="W46" i="1"/>
  <c r="V46" i="1"/>
  <c r="T46" i="1"/>
  <c r="Q46" i="1"/>
  <c r="S46" i="1" s="1"/>
  <c r="U46" i="1" s="1"/>
  <c r="M46" i="1"/>
  <c r="I46" i="1"/>
  <c r="J46" i="1" s="1"/>
  <c r="K46" i="1" s="1"/>
  <c r="H46" i="1"/>
  <c r="G46" i="1"/>
  <c r="E46" i="1"/>
  <c r="D46" i="1"/>
  <c r="C46" i="1"/>
  <c r="X45" i="1"/>
  <c r="W45" i="1"/>
  <c r="V45" i="1"/>
  <c r="T45" i="1"/>
  <c r="Q45" i="1"/>
  <c r="S45" i="1" s="1"/>
  <c r="U45" i="1" s="1"/>
  <c r="M45" i="1"/>
  <c r="L45" i="1"/>
  <c r="K45" i="1"/>
  <c r="J45" i="1"/>
  <c r="I45" i="1"/>
  <c r="H45" i="1"/>
  <c r="G45" i="1"/>
  <c r="E45" i="1"/>
  <c r="D45" i="1"/>
  <c r="C45" i="1"/>
  <c r="X44" i="1"/>
  <c r="W44" i="1"/>
  <c r="V44" i="1"/>
  <c r="U44" i="1"/>
  <c r="T44" i="1"/>
  <c r="S44" i="1"/>
  <c r="Q44" i="1"/>
  <c r="M44" i="1"/>
  <c r="K44" i="1"/>
  <c r="J44" i="1"/>
  <c r="I44" i="1"/>
  <c r="G44" i="1"/>
  <c r="H44" i="1" s="1"/>
  <c r="E44" i="1"/>
  <c r="L44" i="1" s="1"/>
  <c r="D44" i="1"/>
  <c r="C44" i="1"/>
  <c r="X43" i="1"/>
  <c r="W43" i="1"/>
  <c r="V43" i="1"/>
  <c r="U43" i="1"/>
  <c r="T43" i="1"/>
  <c r="S43" i="1"/>
  <c r="Q43" i="1"/>
  <c r="M43" i="1"/>
  <c r="N43" i="1" s="1"/>
  <c r="O43" i="1" s="1"/>
  <c r="L43" i="1"/>
  <c r="K43" i="1"/>
  <c r="J43" i="1"/>
  <c r="I43" i="1"/>
  <c r="G43" i="1"/>
  <c r="H43" i="1" s="1"/>
  <c r="E43" i="1"/>
  <c r="D43" i="1"/>
  <c r="C43" i="1"/>
  <c r="X42" i="1"/>
  <c r="W42" i="1"/>
  <c r="V42" i="1"/>
  <c r="U42" i="1"/>
  <c r="T42" i="1"/>
  <c r="S42" i="1"/>
  <c r="Q42" i="1"/>
  <c r="M42" i="1"/>
  <c r="J42" i="1"/>
  <c r="K42" i="1" s="1"/>
  <c r="I42" i="1"/>
  <c r="G42" i="1"/>
  <c r="H42" i="1" s="1"/>
  <c r="L42" i="1" s="1"/>
  <c r="E42" i="1"/>
  <c r="D42" i="1"/>
  <c r="C42" i="1"/>
  <c r="X41" i="1"/>
  <c r="W41" i="1"/>
  <c r="V41" i="1"/>
  <c r="U41" i="1"/>
  <c r="T41" i="1"/>
  <c r="S41" i="1"/>
  <c r="Q41" i="1"/>
  <c r="M41" i="1"/>
  <c r="N41" i="1" s="1"/>
  <c r="O41" i="1" s="1"/>
  <c r="L41" i="1"/>
  <c r="I41" i="1"/>
  <c r="J41" i="1" s="1"/>
  <c r="K41" i="1" s="1"/>
  <c r="H41" i="1"/>
  <c r="G41" i="1"/>
  <c r="E41" i="1"/>
  <c r="D41" i="1"/>
  <c r="C41" i="1"/>
  <c r="X40" i="1"/>
  <c r="W40" i="1"/>
  <c r="V40" i="1"/>
  <c r="T40" i="1"/>
  <c r="Q40" i="1"/>
  <c r="S40" i="1" s="1"/>
  <c r="U40" i="1" s="1"/>
  <c r="M40" i="1"/>
  <c r="J40" i="1"/>
  <c r="K40" i="1" s="1"/>
  <c r="I40" i="1"/>
  <c r="G40" i="1"/>
  <c r="H40" i="1" s="1"/>
  <c r="E40" i="1"/>
  <c r="D40" i="1"/>
  <c r="C40" i="1"/>
  <c r="X39" i="1"/>
  <c r="W39" i="1"/>
  <c r="V39" i="1"/>
  <c r="T39" i="1"/>
  <c r="S39" i="1"/>
  <c r="U39" i="1" s="1"/>
  <c r="Q39" i="1"/>
  <c r="I39" i="1"/>
  <c r="J39" i="1" s="1"/>
  <c r="K39" i="1" s="1"/>
  <c r="G39" i="1"/>
  <c r="H39" i="1" s="1"/>
  <c r="E39" i="1"/>
  <c r="D39" i="1"/>
  <c r="C39" i="1"/>
  <c r="X38" i="1"/>
  <c r="W38" i="1"/>
  <c r="V38" i="1"/>
  <c r="T38" i="1"/>
  <c r="S38" i="1"/>
  <c r="U38" i="1" s="1"/>
  <c r="Q38" i="1"/>
  <c r="M38" i="1"/>
  <c r="I38" i="1"/>
  <c r="J38" i="1" s="1"/>
  <c r="G38" i="1"/>
  <c r="H38" i="1" s="1"/>
  <c r="E38" i="1"/>
  <c r="D38" i="1"/>
  <c r="C38" i="1"/>
  <c r="X37" i="1"/>
  <c r="W37" i="1"/>
  <c r="V37" i="1"/>
  <c r="U37" i="1"/>
  <c r="T37" i="1"/>
  <c r="S37" i="1"/>
  <c r="Q37" i="1"/>
  <c r="M37" i="1"/>
  <c r="K37" i="1"/>
  <c r="I37" i="1"/>
  <c r="J37" i="1" s="1"/>
  <c r="G37" i="1"/>
  <c r="H37" i="1" s="1"/>
  <c r="L37" i="1" s="1"/>
  <c r="E37" i="1"/>
  <c r="D37" i="1"/>
  <c r="C37" i="1"/>
  <c r="X36" i="1"/>
  <c r="W36" i="1"/>
  <c r="V36" i="1"/>
  <c r="T36" i="1"/>
  <c r="Q36" i="1"/>
  <c r="S36" i="1" s="1"/>
  <c r="U36" i="1" s="1"/>
  <c r="M36" i="1"/>
  <c r="N36" i="1" s="1"/>
  <c r="O36" i="1" s="1"/>
  <c r="I36" i="1"/>
  <c r="J36" i="1" s="1"/>
  <c r="K36" i="1" s="1"/>
  <c r="H36" i="1"/>
  <c r="L36" i="1" s="1"/>
  <c r="G36" i="1"/>
  <c r="E36" i="1"/>
  <c r="D36" i="1"/>
  <c r="C36" i="1"/>
  <c r="X35" i="1"/>
  <c r="W35" i="1"/>
  <c r="V35" i="1"/>
  <c r="T35" i="1"/>
  <c r="Q35" i="1"/>
  <c r="S35" i="1" s="1"/>
  <c r="U35" i="1" s="1"/>
  <c r="M35" i="1"/>
  <c r="I35" i="1"/>
  <c r="J35" i="1" s="1"/>
  <c r="K35" i="1" s="1"/>
  <c r="H35" i="1"/>
  <c r="G35" i="1"/>
  <c r="E35" i="1"/>
  <c r="D35" i="1"/>
  <c r="C35" i="1"/>
  <c r="X34" i="1"/>
  <c r="W34" i="1"/>
  <c r="V34" i="1"/>
  <c r="T34" i="1"/>
  <c r="Q34" i="1"/>
  <c r="S34" i="1" s="1"/>
  <c r="U34" i="1" s="1"/>
  <c r="M34" i="1"/>
  <c r="I34" i="1"/>
  <c r="J34" i="1" s="1"/>
  <c r="K34" i="1" s="1"/>
  <c r="H34" i="1"/>
  <c r="G34" i="1"/>
  <c r="F34" i="1"/>
  <c r="E34" i="1"/>
  <c r="D34" i="1"/>
  <c r="C34" i="1"/>
  <c r="X33" i="1"/>
  <c r="W33" i="1"/>
  <c r="V33" i="1"/>
  <c r="T33" i="1"/>
  <c r="Q33" i="1"/>
  <c r="S33" i="1" s="1"/>
  <c r="U33" i="1" s="1"/>
  <c r="M33" i="1"/>
  <c r="N33" i="1" s="1"/>
  <c r="O33" i="1" s="1"/>
  <c r="L33" i="1"/>
  <c r="K33" i="1"/>
  <c r="J33" i="1"/>
  <c r="I33" i="1"/>
  <c r="G33" i="1"/>
  <c r="H33" i="1" s="1"/>
  <c r="E33" i="1"/>
  <c r="D33" i="1"/>
  <c r="C33" i="1"/>
  <c r="X32" i="1"/>
  <c r="W32" i="1"/>
  <c r="V32" i="1"/>
  <c r="T32" i="1"/>
  <c r="S32" i="1"/>
  <c r="U32" i="1" s="1"/>
  <c r="Q32" i="1"/>
  <c r="M32" i="1"/>
  <c r="J32" i="1"/>
  <c r="K32" i="1" s="1"/>
  <c r="I32" i="1"/>
  <c r="G32" i="1"/>
  <c r="H32" i="1" s="1"/>
  <c r="E32" i="1"/>
  <c r="D32" i="1"/>
  <c r="C32" i="1"/>
  <c r="X31" i="1"/>
  <c r="W31" i="1"/>
  <c r="V31" i="1"/>
  <c r="T31" i="1"/>
  <c r="S31" i="1"/>
  <c r="U31" i="1" s="1"/>
  <c r="Q31" i="1"/>
  <c r="M31" i="1"/>
  <c r="K31" i="1"/>
  <c r="I31" i="1"/>
  <c r="J31" i="1" s="1"/>
  <c r="H31" i="1"/>
  <c r="G31" i="1"/>
  <c r="F31" i="1"/>
  <c r="E31" i="1"/>
  <c r="L31" i="1" s="1"/>
  <c r="N31" i="1" s="1"/>
  <c r="O31" i="1" s="1"/>
  <c r="D31" i="1"/>
  <c r="C31" i="1"/>
  <c r="X30" i="1"/>
  <c r="W30" i="1"/>
  <c r="V30" i="1"/>
  <c r="T30" i="1"/>
  <c r="Q30" i="1"/>
  <c r="S30" i="1" s="1"/>
  <c r="U30" i="1" s="1"/>
  <c r="M30" i="1"/>
  <c r="K30" i="1"/>
  <c r="J30" i="1"/>
  <c r="I30" i="1"/>
  <c r="G30" i="1"/>
  <c r="H30" i="1" s="1"/>
  <c r="L30" i="1" s="1"/>
  <c r="E30" i="1"/>
  <c r="D30" i="1"/>
  <c r="C30" i="1"/>
  <c r="X29" i="1"/>
  <c r="W29" i="1"/>
  <c r="V29" i="1"/>
  <c r="U29" i="1"/>
  <c r="T29" i="1"/>
  <c r="S29" i="1"/>
  <c r="Q29" i="1"/>
  <c r="I29" i="1"/>
  <c r="J29" i="1" s="1"/>
  <c r="K29" i="1" s="1"/>
  <c r="H29" i="1"/>
  <c r="G29" i="1"/>
  <c r="E29" i="1"/>
  <c r="D29" i="1"/>
  <c r="C29" i="1"/>
  <c r="X28" i="1"/>
  <c r="W28" i="1"/>
  <c r="V28" i="1"/>
  <c r="T28" i="1"/>
  <c r="Q28" i="1"/>
  <c r="S28" i="1" s="1"/>
  <c r="U28" i="1" s="1"/>
  <c r="M28" i="1"/>
  <c r="J28" i="1"/>
  <c r="I28" i="1"/>
  <c r="G28" i="1"/>
  <c r="H28" i="1" s="1"/>
  <c r="E28" i="1"/>
  <c r="D28" i="1"/>
  <c r="C28" i="1"/>
  <c r="X27" i="1"/>
  <c r="W27" i="1"/>
  <c r="V27" i="1"/>
  <c r="T27" i="1"/>
  <c r="Q27" i="1"/>
  <c r="S27" i="1" s="1"/>
  <c r="U27" i="1" s="1"/>
  <c r="M27" i="1"/>
  <c r="I27" i="1"/>
  <c r="J27" i="1" s="1"/>
  <c r="K27" i="1" s="1"/>
  <c r="G27" i="1"/>
  <c r="H27" i="1" s="1"/>
  <c r="E27" i="1"/>
  <c r="L27" i="1" s="1"/>
  <c r="D27" i="1"/>
  <c r="C27" i="1"/>
  <c r="X26" i="1"/>
  <c r="W26" i="1"/>
  <c r="V26" i="1"/>
  <c r="T26" i="1"/>
  <c r="Q26" i="1"/>
  <c r="S26" i="1" s="1"/>
  <c r="U26" i="1" s="1"/>
  <c r="M26" i="1"/>
  <c r="I26" i="1"/>
  <c r="J26" i="1" s="1"/>
  <c r="K26" i="1" s="1"/>
  <c r="H26" i="1"/>
  <c r="G26" i="1"/>
  <c r="E26" i="1"/>
  <c r="L26" i="1" s="1"/>
  <c r="N26" i="1" s="1"/>
  <c r="O26" i="1" s="1"/>
  <c r="D26" i="1"/>
  <c r="C26" i="1"/>
  <c r="X25" i="1"/>
  <c r="W25" i="1"/>
  <c r="V25" i="1"/>
  <c r="U25" i="1"/>
  <c r="T25" i="1"/>
  <c r="Q25" i="1"/>
  <c r="S25" i="1" s="1"/>
  <c r="M25" i="1"/>
  <c r="I25" i="1"/>
  <c r="J25" i="1" s="1"/>
  <c r="K25" i="1" s="1"/>
  <c r="G25" i="1"/>
  <c r="H25" i="1" s="1"/>
  <c r="E25" i="1"/>
  <c r="L25" i="1" s="1"/>
  <c r="N25" i="1" s="1"/>
  <c r="O25" i="1" s="1"/>
  <c r="D25" i="1"/>
  <c r="C25" i="1"/>
  <c r="X24" i="1"/>
  <c r="W24" i="1"/>
  <c r="V24" i="1"/>
  <c r="T24" i="1"/>
  <c r="Q24" i="1"/>
  <c r="S24" i="1" s="1"/>
  <c r="U24" i="1" s="1"/>
  <c r="M24" i="1"/>
  <c r="I24" i="1"/>
  <c r="J24" i="1" s="1"/>
  <c r="K24" i="1" s="1"/>
  <c r="G24" i="1"/>
  <c r="H24" i="1" s="1"/>
  <c r="E24" i="1"/>
  <c r="D24" i="1"/>
  <c r="C24" i="1"/>
  <c r="X23" i="1"/>
  <c r="W23" i="1"/>
  <c r="V23" i="1"/>
  <c r="T23" i="1"/>
  <c r="S23" i="1"/>
  <c r="U23" i="1" s="1"/>
  <c r="Q23" i="1"/>
  <c r="M23" i="1"/>
  <c r="I23" i="1"/>
  <c r="J23" i="1" s="1"/>
  <c r="K23" i="1" s="1"/>
  <c r="H23" i="1"/>
  <c r="L23" i="1" s="1"/>
  <c r="G23" i="1"/>
  <c r="E23" i="1"/>
  <c r="D23" i="1"/>
  <c r="C23" i="1"/>
  <c r="X22" i="1"/>
  <c r="W22" i="1"/>
  <c r="V22" i="1"/>
  <c r="T22" i="1"/>
  <c r="Q22" i="1"/>
  <c r="S22" i="1" s="1"/>
  <c r="U22" i="1" s="1"/>
  <c r="M22" i="1"/>
  <c r="I22" i="1"/>
  <c r="J22" i="1" s="1"/>
  <c r="K22" i="1" s="1"/>
  <c r="G22" i="1"/>
  <c r="H22" i="1" s="1"/>
  <c r="L22" i="1" s="1"/>
  <c r="E22" i="1"/>
  <c r="D22" i="1"/>
  <c r="C22" i="1"/>
  <c r="X21" i="1"/>
  <c r="W21" i="1"/>
  <c r="V21" i="1"/>
  <c r="T21" i="1"/>
  <c r="Q21" i="1"/>
  <c r="S21" i="1" s="1"/>
  <c r="U21" i="1" s="1"/>
  <c r="M21" i="1"/>
  <c r="J21" i="1"/>
  <c r="K21" i="1" s="1"/>
  <c r="I21" i="1"/>
  <c r="G21" i="1"/>
  <c r="H21" i="1" s="1"/>
  <c r="E21" i="1"/>
  <c r="L21" i="1" s="1"/>
  <c r="N21" i="1" s="1"/>
  <c r="O21" i="1" s="1"/>
  <c r="D21" i="1"/>
  <c r="C21" i="1"/>
  <c r="X20" i="1"/>
  <c r="W20" i="1"/>
  <c r="V20" i="1"/>
  <c r="U20" i="1"/>
  <c r="T20" i="1"/>
  <c r="S20" i="1"/>
  <c r="Q20" i="1"/>
  <c r="M20" i="1"/>
  <c r="I20" i="1"/>
  <c r="J20" i="1" s="1"/>
  <c r="K20" i="1" s="1"/>
  <c r="G20" i="1"/>
  <c r="H20" i="1" s="1"/>
  <c r="L20" i="1" s="1"/>
  <c r="E20" i="1"/>
  <c r="D20" i="1"/>
  <c r="C20" i="1"/>
  <c r="X19" i="1"/>
  <c r="W19" i="1"/>
  <c r="V19" i="1"/>
  <c r="T19" i="1"/>
  <c r="Q19" i="1"/>
  <c r="S19" i="1" s="1"/>
  <c r="U19" i="1" s="1"/>
  <c r="M19" i="1"/>
  <c r="I19" i="1"/>
  <c r="J19" i="1" s="1"/>
  <c r="K19" i="1" s="1"/>
  <c r="G19" i="1"/>
  <c r="H19" i="1" s="1"/>
  <c r="E19" i="1"/>
  <c r="L19" i="1" s="1"/>
  <c r="N19" i="1" s="1"/>
  <c r="O19" i="1" s="1"/>
  <c r="D19" i="1"/>
  <c r="C19" i="1"/>
  <c r="X18" i="1"/>
  <c r="W18" i="1"/>
  <c r="V18" i="1"/>
  <c r="U18" i="1"/>
  <c r="T18" i="1"/>
  <c r="Q18" i="1"/>
  <c r="S18" i="1" s="1"/>
  <c r="M18" i="1"/>
  <c r="K18" i="1"/>
  <c r="J18" i="1"/>
  <c r="I18" i="1"/>
  <c r="G18" i="1"/>
  <c r="H18" i="1" s="1"/>
  <c r="L18" i="1" s="1"/>
  <c r="E18" i="1"/>
  <c r="D18" i="1"/>
  <c r="C18" i="1"/>
  <c r="X17" i="1"/>
  <c r="W17" i="1"/>
  <c r="V17" i="1"/>
  <c r="U17" i="1"/>
  <c r="T17" i="1"/>
  <c r="S17" i="1"/>
  <c r="Q17" i="1"/>
  <c r="M17" i="1"/>
  <c r="I17" i="1"/>
  <c r="J17" i="1" s="1"/>
  <c r="K17" i="1" s="1"/>
  <c r="G17" i="1"/>
  <c r="H17" i="1" s="1"/>
  <c r="E17" i="1"/>
  <c r="D17" i="1"/>
  <c r="C17" i="1"/>
  <c r="X16" i="1"/>
  <c r="W16" i="1"/>
  <c r="V16" i="1"/>
  <c r="T16" i="1"/>
  <c r="S16" i="1"/>
  <c r="U16" i="1" s="1"/>
  <c r="Q16" i="1"/>
  <c r="M16" i="1"/>
  <c r="K16" i="1"/>
  <c r="L16" i="1" s="1"/>
  <c r="J16" i="1"/>
  <c r="I16" i="1"/>
  <c r="G16" i="1"/>
  <c r="H16" i="1" s="1"/>
  <c r="E16" i="1"/>
  <c r="D16" i="1"/>
  <c r="C16" i="1"/>
  <c r="X15" i="1"/>
  <c r="W15" i="1"/>
  <c r="V15" i="1"/>
  <c r="T15" i="1"/>
  <c r="S15" i="1"/>
  <c r="U15" i="1" s="1"/>
  <c r="Q15" i="1"/>
  <c r="M15" i="1"/>
  <c r="J15" i="1"/>
  <c r="K15" i="1" s="1"/>
  <c r="I15" i="1"/>
  <c r="G15" i="1"/>
  <c r="H15" i="1" s="1"/>
  <c r="E15" i="1"/>
  <c r="L15" i="1" s="1"/>
  <c r="D15" i="1"/>
  <c r="C15" i="1"/>
  <c r="X14" i="1"/>
  <c r="W14" i="1"/>
  <c r="V14" i="1"/>
  <c r="T14" i="1"/>
  <c r="S14" i="1"/>
  <c r="U14" i="1" s="1"/>
  <c r="Q14" i="1"/>
  <c r="M14" i="1"/>
  <c r="J14" i="1"/>
  <c r="K14" i="1" s="1"/>
  <c r="I14" i="1"/>
  <c r="G14" i="1"/>
  <c r="H14" i="1" s="1"/>
  <c r="E14" i="1"/>
  <c r="L14" i="1" s="1"/>
  <c r="D14" i="1"/>
  <c r="C14" i="1"/>
  <c r="X13" i="1"/>
  <c r="W13" i="1"/>
  <c r="V13" i="1"/>
  <c r="T13" i="1"/>
  <c r="S13" i="1"/>
  <c r="U13" i="1" s="1"/>
  <c r="Q13" i="1"/>
  <c r="M13" i="1"/>
  <c r="I13" i="1"/>
  <c r="J13" i="1" s="1"/>
  <c r="K13" i="1" s="1"/>
  <c r="G13" i="1"/>
  <c r="H13" i="1" s="1"/>
  <c r="E13" i="1"/>
  <c r="L13" i="1" s="1"/>
  <c r="D13" i="1"/>
  <c r="C13" i="1"/>
  <c r="X12" i="1"/>
  <c r="W12" i="1"/>
  <c r="V12" i="1"/>
  <c r="T12" i="1"/>
  <c r="Q12" i="1"/>
  <c r="S12" i="1" s="1"/>
  <c r="U12" i="1" s="1"/>
  <c r="M12" i="1"/>
  <c r="N12" i="1" s="1"/>
  <c r="O12" i="1" s="1"/>
  <c r="I12" i="1"/>
  <c r="J12" i="1" s="1"/>
  <c r="K12" i="1" s="1"/>
  <c r="G12" i="1"/>
  <c r="H12" i="1" s="1"/>
  <c r="L12" i="1" s="1"/>
  <c r="E12" i="1"/>
  <c r="D12" i="1"/>
  <c r="C12" i="1"/>
  <c r="X11" i="1"/>
  <c r="W11" i="1"/>
  <c r="V11" i="1"/>
  <c r="T11" i="1"/>
  <c r="Q11" i="1"/>
  <c r="S11" i="1" s="1"/>
  <c r="U11" i="1" s="1"/>
  <c r="M11" i="1"/>
  <c r="I11" i="1"/>
  <c r="J11" i="1" s="1"/>
  <c r="K11" i="1" s="1"/>
  <c r="G11" i="1"/>
  <c r="H11" i="1" s="1"/>
  <c r="E11" i="1"/>
  <c r="D11" i="1"/>
  <c r="C11" i="1"/>
  <c r="X10" i="1"/>
  <c r="W10" i="1"/>
  <c r="V10" i="1"/>
  <c r="T10" i="1"/>
  <c r="Q10" i="1"/>
  <c r="S10" i="1" s="1"/>
  <c r="U10" i="1" s="1"/>
  <c r="M10" i="1"/>
  <c r="I10" i="1"/>
  <c r="J10" i="1" s="1"/>
  <c r="K10" i="1" s="1"/>
  <c r="H10" i="1"/>
  <c r="G10" i="1"/>
  <c r="E10" i="1"/>
  <c r="L10" i="1" s="1"/>
  <c r="N10" i="1" s="1"/>
  <c r="O10" i="1" s="1"/>
  <c r="D10" i="1"/>
  <c r="C10" i="1"/>
  <c r="X9" i="1"/>
  <c r="W9" i="1"/>
  <c r="V9" i="1"/>
  <c r="T9" i="1"/>
  <c r="Q9" i="1"/>
  <c r="S9" i="1" s="1"/>
  <c r="U9" i="1" s="1"/>
  <c r="M9" i="1"/>
  <c r="N9" i="1" s="1"/>
  <c r="O9" i="1" s="1"/>
  <c r="I9" i="1"/>
  <c r="J9" i="1" s="1"/>
  <c r="K9" i="1" s="1"/>
  <c r="H9" i="1"/>
  <c r="G9" i="1"/>
  <c r="E9" i="1"/>
  <c r="L9" i="1" s="1"/>
  <c r="D9" i="1"/>
  <c r="C9" i="1"/>
  <c r="X8" i="1"/>
  <c r="W8" i="1"/>
  <c r="V8" i="1"/>
  <c r="T8" i="1"/>
  <c r="Q8" i="1"/>
  <c r="S8" i="1" s="1"/>
  <c r="U8" i="1" s="1"/>
  <c r="M8" i="1"/>
  <c r="N8" i="1" s="1"/>
  <c r="O8" i="1" s="1"/>
  <c r="K8" i="1"/>
  <c r="J8" i="1"/>
  <c r="I8" i="1"/>
  <c r="G8" i="1"/>
  <c r="H8" i="1" s="1"/>
  <c r="L8" i="1" s="1"/>
  <c r="E8" i="1"/>
  <c r="D8" i="1"/>
  <c r="C8" i="1"/>
  <c r="X7" i="1"/>
  <c r="W7" i="1"/>
  <c r="V7" i="1"/>
  <c r="T7" i="1"/>
  <c r="S7" i="1"/>
  <c r="U7" i="1" s="1"/>
  <c r="Q7" i="1"/>
  <c r="M7" i="1"/>
  <c r="K7" i="1"/>
  <c r="J7" i="1"/>
  <c r="I7" i="1"/>
  <c r="G7" i="1"/>
  <c r="H7" i="1" s="1"/>
  <c r="L7" i="1" s="1"/>
  <c r="E7" i="1"/>
  <c r="D7" i="1"/>
  <c r="C7" i="1"/>
  <c r="X6" i="1"/>
  <c r="W6" i="1"/>
  <c r="V6" i="1"/>
  <c r="U6" i="1"/>
  <c r="T6" i="1"/>
  <c r="S6" i="1"/>
  <c r="Q6" i="1"/>
  <c r="M6" i="1"/>
  <c r="I6" i="1"/>
  <c r="J6" i="1" s="1"/>
  <c r="K6" i="1" s="1"/>
  <c r="G6" i="1"/>
  <c r="H6" i="1" s="1"/>
  <c r="E6" i="1"/>
  <c r="D6" i="1"/>
  <c r="C6" i="1"/>
  <c r="X5" i="1"/>
  <c r="W5" i="1"/>
  <c r="V5" i="1"/>
  <c r="T5" i="1"/>
  <c r="Q5" i="1"/>
  <c r="S5" i="1" s="1"/>
  <c r="U5" i="1" s="1"/>
  <c r="M5" i="1"/>
  <c r="I5" i="1"/>
  <c r="J5" i="1" s="1"/>
  <c r="K5" i="1" s="1"/>
  <c r="H5" i="1"/>
  <c r="L5" i="1" s="1"/>
  <c r="G5" i="1"/>
  <c r="E5" i="1"/>
  <c r="D5" i="1"/>
  <c r="C5" i="1"/>
  <c r="X4" i="1"/>
  <c r="W4" i="1"/>
  <c r="V4" i="1"/>
  <c r="T4" i="1"/>
  <c r="Q4" i="1"/>
  <c r="S4" i="1" s="1"/>
  <c r="U4" i="1" s="1"/>
  <c r="M4" i="1"/>
  <c r="I4" i="1"/>
  <c r="J4" i="1" s="1"/>
  <c r="K4" i="1" s="1"/>
  <c r="H4" i="1"/>
  <c r="L4" i="1" s="1"/>
  <c r="N4" i="1" s="1"/>
  <c r="O4" i="1" s="1"/>
  <c r="G4" i="1"/>
  <c r="E4" i="1"/>
  <c r="D4" i="1"/>
  <c r="C4" i="1"/>
  <c r="X3" i="1"/>
  <c r="W3" i="1"/>
  <c r="V3" i="1"/>
  <c r="T3" i="1"/>
  <c r="Q3" i="1"/>
  <c r="S3" i="1" s="1"/>
  <c r="U3" i="1" s="1"/>
  <c r="M3" i="1"/>
  <c r="J3" i="1"/>
  <c r="K3" i="1" s="1"/>
  <c r="I3" i="1"/>
  <c r="G3" i="1"/>
  <c r="H3" i="1" s="1"/>
  <c r="E3" i="1"/>
  <c r="D3" i="1"/>
  <c r="C3" i="1"/>
  <c r="X2" i="1"/>
  <c r="W2" i="1"/>
  <c r="V2" i="1"/>
  <c r="T2" i="1"/>
  <c r="S2" i="1"/>
  <c r="U2" i="1" s="1"/>
  <c r="Q2" i="1"/>
  <c r="M2" i="1"/>
  <c r="J2" i="1"/>
  <c r="K2" i="1" s="1"/>
  <c r="I2" i="1"/>
  <c r="G2" i="1"/>
  <c r="H2" i="1" s="1"/>
  <c r="F2" i="1"/>
  <c r="E2" i="1"/>
  <c r="D2" i="1"/>
  <c r="C2" i="1"/>
  <c r="L2" i="1" l="1"/>
  <c r="L28" i="1"/>
  <c r="N28" i="1" s="1"/>
  <c r="O28" i="1" s="1"/>
  <c r="N20" i="1"/>
  <c r="O20" i="1" s="1"/>
  <c r="L3" i="1"/>
  <c r="N3" i="1" s="1"/>
  <c r="O3" i="1" s="1"/>
  <c r="L6" i="1"/>
  <c r="N6" i="1" s="1"/>
  <c r="O6" i="1" s="1"/>
  <c r="N18" i="1"/>
  <c r="O18" i="1" s="1"/>
  <c r="N23" i="1"/>
  <c r="O23" i="1" s="1"/>
  <c r="N42" i="1"/>
  <c r="O42" i="1" s="1"/>
  <c r="K104" i="1"/>
  <c r="L104" i="1"/>
  <c r="K38" i="1"/>
  <c r="L38" i="1" s="1"/>
  <c r="N38" i="1" s="1"/>
  <c r="O38" i="1" s="1"/>
  <c r="N59" i="1"/>
  <c r="O59" i="1" s="1"/>
  <c r="N16" i="1"/>
  <c r="O16" i="1" s="1"/>
  <c r="N30" i="1"/>
  <c r="O30" i="1" s="1"/>
  <c r="L32" i="1"/>
  <c r="N32" i="1" s="1"/>
  <c r="O32" i="1" s="1"/>
  <c r="K83" i="1"/>
  <c r="L83" i="1" s="1"/>
  <c r="N83" i="1" s="1"/>
  <c r="O83" i="1" s="1"/>
  <c r="K90" i="1"/>
  <c r="L90" i="1" s="1"/>
  <c r="K62" i="1"/>
  <c r="L62" i="1" s="1"/>
  <c r="N62" i="1" s="1"/>
  <c r="O62" i="1" s="1"/>
  <c r="N2" i="1"/>
  <c r="O2" i="1" s="1"/>
  <c r="N5" i="1"/>
  <c r="O5" i="1" s="1"/>
  <c r="L11" i="1"/>
  <c r="N11" i="1" s="1"/>
  <c r="O11" i="1" s="1"/>
  <c r="N13" i="1"/>
  <c r="O13" i="1" s="1"/>
  <c r="N7" i="1"/>
  <c r="O7" i="1" s="1"/>
  <c r="N14" i="1"/>
  <c r="O14" i="1" s="1"/>
  <c r="L40" i="1"/>
  <c r="N40" i="1" s="1"/>
  <c r="O40" i="1" s="1"/>
  <c r="K71" i="1"/>
  <c r="L71" i="1" s="1"/>
  <c r="N71" i="1" s="1"/>
  <c r="O71" i="1" s="1"/>
  <c r="L64" i="1"/>
  <c r="N64" i="1" s="1"/>
  <c r="O64" i="1" s="1"/>
  <c r="L68" i="1"/>
  <c r="N45" i="1"/>
  <c r="O45" i="1" s="1"/>
  <c r="L72" i="1"/>
  <c r="N72" i="1" s="1"/>
  <c r="O72" i="1" s="1"/>
  <c r="N94" i="1"/>
  <c r="O94" i="1" s="1"/>
  <c r="L122" i="1"/>
  <c r="L126" i="1"/>
  <c r="L160" i="1"/>
  <c r="L52" i="1"/>
  <c r="N52" i="1" s="1"/>
  <c r="O52" i="1" s="1"/>
  <c r="N96" i="1"/>
  <c r="O96" i="1" s="1"/>
  <c r="N100" i="1"/>
  <c r="O100" i="1" s="1"/>
  <c r="K105" i="1"/>
  <c r="L105" i="1" s="1"/>
  <c r="N105" i="1" s="1"/>
  <c r="O105" i="1" s="1"/>
  <c r="N124" i="1"/>
  <c r="O124" i="1" s="1"/>
  <c r="M177" i="1"/>
  <c r="N177" i="1" s="1"/>
  <c r="O177" i="1" s="1"/>
  <c r="L82" i="1"/>
  <c r="L110" i="1"/>
  <c r="L112" i="1"/>
  <c r="N112" i="1" s="1"/>
  <c r="O112" i="1" s="1"/>
  <c r="K120" i="1"/>
  <c r="L120" i="1" s="1"/>
  <c r="N120" i="1" s="1"/>
  <c r="O120" i="1" s="1"/>
  <c r="M122" i="1"/>
  <c r="L150" i="1"/>
  <c r="K175" i="1"/>
  <c r="L175" i="1" s="1"/>
  <c r="L79" i="1"/>
  <c r="N117" i="1"/>
  <c r="O117" i="1" s="1"/>
  <c r="L35" i="1"/>
  <c r="N35" i="1" s="1"/>
  <c r="O35" i="1" s="1"/>
  <c r="N54" i="1"/>
  <c r="O54" i="1" s="1"/>
  <c r="M79" i="1"/>
  <c r="N119" i="1"/>
  <c r="O119" i="1" s="1"/>
  <c r="L142" i="1"/>
  <c r="N142" i="1" s="1"/>
  <c r="O142" i="1" s="1"/>
  <c r="N22" i="1"/>
  <c r="O22" i="1" s="1"/>
  <c r="N50" i="1"/>
  <c r="O50" i="1" s="1"/>
  <c r="L24" i="1"/>
  <c r="N24" i="1" s="1"/>
  <c r="O24" i="1" s="1"/>
  <c r="N27" i="1"/>
  <c r="O27" i="1" s="1"/>
  <c r="L56" i="1"/>
  <c r="N56" i="1" s="1"/>
  <c r="O56" i="1" s="1"/>
  <c r="N68" i="1"/>
  <c r="O68" i="1" s="1"/>
  <c r="L70" i="1"/>
  <c r="L81" i="1"/>
  <c r="N81" i="1" s="1"/>
  <c r="O81" i="1" s="1"/>
  <c r="M170" i="1"/>
  <c r="M187" i="1"/>
  <c r="M175" i="1"/>
  <c r="M180" i="1"/>
  <c r="N180" i="1" s="1"/>
  <c r="O180" i="1" s="1"/>
  <c r="M173" i="1"/>
  <c r="N173" i="1" s="1"/>
  <c r="O173" i="1" s="1"/>
  <c r="M178" i="1"/>
  <c r="N178" i="1" s="1"/>
  <c r="O178" i="1" s="1"/>
  <c r="M171" i="1"/>
  <c r="N171" i="1" s="1"/>
  <c r="O171" i="1" s="1"/>
  <c r="M159" i="1"/>
  <c r="M147" i="1"/>
  <c r="N147" i="1" s="1"/>
  <c r="O147" i="1" s="1"/>
  <c r="M157" i="1"/>
  <c r="M140" i="1"/>
  <c r="N140" i="1" s="1"/>
  <c r="O140" i="1" s="1"/>
  <c r="M128" i="1"/>
  <c r="N128" i="1" s="1"/>
  <c r="O128" i="1" s="1"/>
  <c r="M116" i="1"/>
  <c r="M126" i="1"/>
  <c r="N126" i="1" s="1"/>
  <c r="O126" i="1" s="1"/>
  <c r="M102" i="1"/>
  <c r="N102" i="1" s="1"/>
  <c r="O102" i="1" s="1"/>
  <c r="M90" i="1"/>
  <c r="M63" i="1"/>
  <c r="N63" i="1" s="1"/>
  <c r="O63" i="1" s="1"/>
  <c r="M101" i="1"/>
  <c r="N101" i="1" s="1"/>
  <c r="O101" i="1" s="1"/>
  <c r="M93" i="1"/>
  <c r="M39" i="1"/>
  <c r="M29" i="1"/>
  <c r="N29" i="1" s="1"/>
  <c r="O29" i="1" s="1"/>
  <c r="M136" i="1"/>
  <c r="N136" i="1" s="1"/>
  <c r="O136" i="1" s="1"/>
  <c r="M103" i="1"/>
  <c r="N103" i="1" s="1"/>
  <c r="O103" i="1" s="1"/>
  <c r="M49" i="1"/>
  <c r="N49" i="1" s="1"/>
  <c r="O49" i="1" s="1"/>
  <c r="M110" i="1"/>
  <c r="M84" i="1"/>
  <c r="N84" i="1" s="1"/>
  <c r="O84" i="1" s="1"/>
  <c r="M66" i="1"/>
  <c r="N66" i="1" s="1"/>
  <c r="O66" i="1" s="1"/>
  <c r="M165" i="1"/>
  <c r="N165" i="1" s="1"/>
  <c r="O165" i="1" s="1"/>
  <c r="M115" i="1"/>
  <c r="N115" i="1" s="1"/>
  <c r="O115" i="1" s="1"/>
  <c r="M88" i="1"/>
  <c r="N88" i="1" s="1"/>
  <c r="O88" i="1" s="1"/>
  <c r="M109" i="1"/>
  <c r="M92" i="1"/>
  <c r="N92" i="1" s="1"/>
  <c r="O92" i="1" s="1"/>
  <c r="N61" i="1"/>
  <c r="O61" i="1" s="1"/>
  <c r="L73" i="1"/>
  <c r="N73" i="1" s="1"/>
  <c r="O73" i="1" s="1"/>
  <c r="L77" i="1"/>
  <c r="K28" i="1"/>
  <c r="N44" i="1"/>
  <c r="O44" i="1" s="1"/>
  <c r="L59" i="1"/>
  <c r="K89" i="1"/>
  <c r="L89" i="1"/>
  <c r="N89" i="1" s="1"/>
  <c r="O89" i="1" s="1"/>
  <c r="L93" i="1"/>
  <c r="L29" i="1"/>
  <c r="N37" i="1"/>
  <c r="O37" i="1" s="1"/>
  <c r="N55" i="1"/>
  <c r="O55" i="1" s="1"/>
  <c r="L76" i="1"/>
  <c r="N76" i="1" s="1"/>
  <c r="O76" i="1" s="1"/>
  <c r="N15" i="1"/>
  <c r="O15" i="1" s="1"/>
  <c r="L63" i="1"/>
  <c r="N86" i="1"/>
  <c r="O86" i="1" s="1"/>
  <c r="L95" i="1"/>
  <c r="L118" i="1"/>
  <c r="N118" i="1" s="1"/>
  <c r="O118" i="1" s="1"/>
  <c r="L181" i="1"/>
  <c r="L17" i="1"/>
  <c r="N17" i="1" s="1"/>
  <c r="O17" i="1" s="1"/>
  <c r="L39" i="1"/>
  <c r="L51" i="1"/>
  <c r="N51" i="1" s="1"/>
  <c r="O51" i="1" s="1"/>
  <c r="L57" i="1"/>
  <c r="N57" i="1" s="1"/>
  <c r="O57" i="1" s="1"/>
  <c r="N70" i="1"/>
  <c r="O70" i="1" s="1"/>
  <c r="N77" i="1"/>
  <c r="O77" i="1" s="1"/>
  <c r="L98" i="1"/>
  <c r="N98" i="1" s="1"/>
  <c r="O98" i="1" s="1"/>
  <c r="L34" i="1"/>
  <c r="N34" i="1" s="1"/>
  <c r="O34" i="1" s="1"/>
  <c r="L46" i="1"/>
  <c r="N46" i="1" s="1"/>
  <c r="O46" i="1" s="1"/>
  <c r="L97" i="1"/>
  <c r="N97" i="1" s="1"/>
  <c r="O97" i="1" s="1"/>
  <c r="L179" i="1"/>
  <c r="N179" i="1" s="1"/>
  <c r="O179" i="1" s="1"/>
  <c r="L121" i="1"/>
  <c r="L130" i="1"/>
  <c r="N130" i="1" s="1"/>
  <c r="O130" i="1" s="1"/>
  <c r="N160" i="1"/>
  <c r="O160" i="1" s="1"/>
  <c r="M141" i="1"/>
  <c r="N141" i="1" s="1"/>
  <c r="O141" i="1" s="1"/>
  <c r="M156" i="1"/>
  <c r="M151" i="1"/>
  <c r="N151" i="1" s="1"/>
  <c r="O151" i="1" s="1"/>
  <c r="M139" i="1"/>
  <c r="N139" i="1" s="1"/>
  <c r="O139" i="1" s="1"/>
  <c r="M161" i="1"/>
  <c r="N161" i="1" s="1"/>
  <c r="O161" i="1" s="1"/>
  <c r="M144" i="1"/>
  <c r="N144" i="1" s="1"/>
  <c r="O144" i="1" s="1"/>
  <c r="M154" i="1"/>
  <c r="M137" i="1"/>
  <c r="N137" i="1" s="1"/>
  <c r="O137" i="1" s="1"/>
  <c r="M176" i="1"/>
  <c r="N176" i="1" s="1"/>
  <c r="O176" i="1" s="1"/>
  <c r="M123" i="1"/>
  <c r="M111" i="1"/>
  <c r="N111" i="1" s="1"/>
  <c r="O111" i="1" s="1"/>
  <c r="M99" i="1"/>
  <c r="N99" i="1" s="1"/>
  <c r="O99" i="1" s="1"/>
  <c r="M87" i="1"/>
  <c r="N87" i="1" s="1"/>
  <c r="O87" i="1" s="1"/>
  <c r="M181" i="1"/>
  <c r="N181" i="1" s="1"/>
  <c r="O181" i="1" s="1"/>
  <c r="M104" i="1"/>
  <c r="M162" i="1"/>
  <c r="N162" i="1" s="1"/>
  <c r="O162" i="1" s="1"/>
  <c r="M133" i="1"/>
  <c r="N133" i="1" s="1"/>
  <c r="O133" i="1" s="1"/>
  <c r="M121" i="1"/>
  <c r="M155" i="1"/>
  <c r="N155" i="1" s="1"/>
  <c r="O155" i="1" s="1"/>
  <c r="M150" i="1"/>
  <c r="N150" i="1" s="1"/>
  <c r="O150" i="1" s="1"/>
  <c r="M138" i="1"/>
  <c r="N138" i="1" s="1"/>
  <c r="O138" i="1" s="1"/>
  <c r="M114" i="1"/>
  <c r="N114" i="1" s="1"/>
  <c r="O114" i="1" s="1"/>
  <c r="L116" i="1"/>
  <c r="L144" i="1"/>
  <c r="L163" i="1"/>
  <c r="K163" i="1"/>
  <c r="L169" i="1"/>
  <c r="L80" i="1"/>
  <c r="N80" i="1" s="1"/>
  <c r="O80" i="1" s="1"/>
  <c r="L132" i="1"/>
  <c r="L147" i="1"/>
  <c r="L148" i="1"/>
  <c r="N148" i="1" s="1"/>
  <c r="O148" i="1" s="1"/>
  <c r="L149" i="1"/>
  <c r="N166" i="1"/>
  <c r="O166" i="1" s="1"/>
  <c r="L168" i="1"/>
  <c r="L170" i="1"/>
  <c r="L171" i="1"/>
  <c r="L186" i="1"/>
  <c r="L188" i="1"/>
  <c r="N188" i="1" s="1"/>
  <c r="O188" i="1" s="1"/>
  <c r="L111" i="1"/>
  <c r="L152" i="1"/>
  <c r="N134" i="1"/>
  <c r="O134" i="1" s="1"/>
  <c r="N75" i="1"/>
  <c r="O75" i="1" s="1"/>
  <c r="L85" i="1"/>
  <c r="N85" i="1" s="1"/>
  <c r="O85" i="1" s="1"/>
  <c r="L106" i="1"/>
  <c r="N106" i="1" s="1"/>
  <c r="O106" i="1" s="1"/>
  <c r="N107" i="1"/>
  <c r="O107" i="1" s="1"/>
  <c r="N184" i="1"/>
  <c r="O184" i="1" s="1"/>
  <c r="L67" i="1"/>
  <c r="N67" i="1" s="1"/>
  <c r="O67" i="1" s="1"/>
  <c r="N143" i="1"/>
  <c r="O143" i="1" s="1"/>
  <c r="K150" i="1"/>
  <c r="K187" i="1"/>
  <c r="L187" i="1" s="1"/>
  <c r="L94" i="1"/>
  <c r="L99" i="1"/>
  <c r="M131" i="1"/>
  <c r="N131" i="1" s="1"/>
  <c r="O131" i="1" s="1"/>
  <c r="L154" i="1"/>
  <c r="L157" i="1"/>
  <c r="M182" i="1"/>
  <c r="N182" i="1" s="1"/>
  <c r="O182" i="1" s="1"/>
  <c r="M168" i="1"/>
  <c r="M132" i="1"/>
  <c r="M135" i="1"/>
  <c r="N135" i="1" s="1"/>
  <c r="O135" i="1" s="1"/>
  <c r="M152" i="1"/>
  <c r="M186" i="1"/>
  <c r="M174" i="1"/>
  <c r="N174" i="1" s="1"/>
  <c r="O174" i="1" s="1"/>
  <c r="N95" i="1"/>
  <c r="O95" i="1" s="1"/>
  <c r="L109" i="1"/>
  <c r="L123" i="1"/>
  <c r="M125" i="1"/>
  <c r="N125" i="1" s="1"/>
  <c r="O125" i="1" s="1"/>
  <c r="L156" i="1"/>
  <c r="L158" i="1"/>
  <c r="L159" i="1"/>
  <c r="N172" i="1"/>
  <c r="O172" i="1" s="1"/>
  <c r="L174" i="1"/>
  <c r="L176" i="1"/>
  <c r="L177" i="1"/>
  <c r="L178" i="1"/>
  <c r="M129" i="1"/>
  <c r="N129" i="1" s="1"/>
  <c r="O129" i="1" s="1"/>
  <c r="M163" i="1"/>
  <c r="N163" i="1" s="1"/>
  <c r="O163" i="1" s="1"/>
  <c r="M146" i="1"/>
  <c r="N146" i="1" s="1"/>
  <c r="O146" i="1" s="1"/>
  <c r="M127" i="1"/>
  <c r="N127" i="1" s="1"/>
  <c r="O127" i="1" s="1"/>
  <c r="M149" i="1"/>
  <c r="N149" i="1" s="1"/>
  <c r="O149" i="1" s="1"/>
  <c r="M145" i="1"/>
  <c r="N145" i="1" s="1"/>
  <c r="O145" i="1" s="1"/>
  <c r="M167" i="1"/>
  <c r="N167" i="1" s="1"/>
  <c r="O167" i="1" s="1"/>
  <c r="L140" i="1"/>
  <c r="M158" i="1"/>
  <c r="M153" i="1"/>
  <c r="N153" i="1" s="1"/>
  <c r="O153" i="1" s="1"/>
  <c r="M185" i="1"/>
  <c r="N185" i="1" s="1"/>
  <c r="O185" i="1" s="1"/>
  <c r="M183" i="1"/>
  <c r="N183" i="1" s="1"/>
  <c r="O183" i="1" s="1"/>
  <c r="M82" i="1"/>
  <c r="M169" i="1"/>
  <c r="N169" i="1" s="1"/>
  <c r="O169" i="1" s="1"/>
  <c r="N109" i="1" l="1"/>
  <c r="O109" i="1" s="1"/>
  <c r="N82" i="1"/>
  <c r="O82" i="1" s="1"/>
  <c r="N154" i="1"/>
  <c r="O154" i="1" s="1"/>
  <c r="N152" i="1"/>
  <c r="O152" i="1" s="1"/>
  <c r="N175" i="1"/>
  <c r="O175" i="1" s="1"/>
  <c r="N158" i="1"/>
  <c r="O158" i="1" s="1"/>
  <c r="N187" i="1"/>
  <c r="O187" i="1" s="1"/>
  <c r="N93" i="1"/>
  <c r="O93" i="1" s="1"/>
  <c r="N186" i="1"/>
  <c r="O186" i="1" s="1"/>
  <c r="N121" i="1"/>
  <c r="O121" i="1" s="1"/>
  <c r="N90" i="1"/>
  <c r="O90" i="1" s="1"/>
  <c r="N122" i="1"/>
  <c r="O122" i="1" s="1"/>
  <c r="N132" i="1"/>
  <c r="O132" i="1" s="1"/>
  <c r="N104" i="1"/>
  <c r="O104" i="1" s="1"/>
  <c r="N110" i="1"/>
  <c r="O110" i="1" s="1"/>
  <c r="N116" i="1"/>
  <c r="O116" i="1" s="1"/>
  <c r="N170" i="1"/>
  <c r="O170" i="1" s="1"/>
  <c r="N79" i="1"/>
  <c r="O79" i="1" s="1"/>
  <c r="N168" i="1"/>
  <c r="O168" i="1" s="1"/>
  <c r="N156" i="1"/>
  <c r="O156" i="1" s="1"/>
  <c r="N157" i="1"/>
  <c r="O157" i="1" s="1"/>
  <c r="N123" i="1"/>
  <c r="O123" i="1" s="1"/>
  <c r="N39" i="1"/>
  <c r="O39" i="1" s="1"/>
  <c r="N159" i="1"/>
  <c r="O1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tc={41379B96-8AD2-47D7-947A-769DF534A4D5}</author>
  </authors>
  <commentList>
    <comment ref="B71" authorId="0" shapeId="0" xr:uid="{41379B96-8AD2-47D7-947A-769DF534A4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Cliente se cambio del 110 al 112</t>
      </text>
    </comment>
  </commentList>
</comments>
</file>

<file path=xl/sharedStrings.xml><?xml version="1.0" encoding="utf-8"?>
<sst xmlns="http://schemas.openxmlformats.org/spreadsheetml/2006/main" count="226" uniqueCount="201">
  <si>
    <t>Cliente</t>
  </si>
  <si>
    <t>No. Apartamento</t>
  </si>
  <si>
    <t xml:space="preserve">Modelo </t>
  </si>
  <si>
    <t>Precio de venta</t>
  </si>
  <si>
    <t xml:space="preserve">Metraje interno </t>
  </si>
  <si>
    <t xml:space="preserve">Metraje terraza </t>
  </si>
  <si>
    <t>Parqueo simple</t>
  </si>
  <si>
    <t xml:space="preserve">Metraje simple </t>
  </si>
  <si>
    <t>Parqueo Tandem</t>
  </si>
  <si>
    <t xml:space="preserve">Metraje Tandem </t>
  </si>
  <si>
    <t>Metraje Bodega</t>
  </si>
  <si>
    <t>Metraje total</t>
  </si>
  <si>
    <t xml:space="preserve">Precio m2 actual </t>
  </si>
  <si>
    <t xml:space="preserve">Precio actual sugerido </t>
  </si>
  <si>
    <t xml:space="preserve">GAP Plusvalía </t>
  </si>
  <si>
    <t xml:space="preserve">Enganche total plan de pagos </t>
  </si>
  <si>
    <t>Enganche pactado a Febrero 2026</t>
  </si>
  <si>
    <t xml:space="preserve">Enganche pagado </t>
  </si>
  <si>
    <t>Diferencia a Febrero</t>
  </si>
  <si>
    <t xml:space="preserve">Diferencia </t>
  </si>
  <si>
    <t>Estatus cobros</t>
  </si>
  <si>
    <t xml:space="preserve">Bloque PCV </t>
  </si>
  <si>
    <t>Estatus Precalificación</t>
  </si>
  <si>
    <t xml:space="preserve">Comentarios de Precalificación </t>
  </si>
  <si>
    <t>International Coffee</t>
  </si>
  <si>
    <t>Inmobiliaria 15</t>
  </si>
  <si>
    <t>Luis Arimany</t>
  </si>
  <si>
    <t>Carolina Arimany</t>
  </si>
  <si>
    <t>Maria Carolina Arimany</t>
  </si>
  <si>
    <t>July de Arimany</t>
  </si>
  <si>
    <t>Octavio Herrera (Alexander F)</t>
  </si>
  <si>
    <t>Jorge Arimany</t>
  </si>
  <si>
    <t>Leonel Molina Gramajo</t>
  </si>
  <si>
    <t>Alan Richard Gonzalez Choc</t>
  </si>
  <si>
    <t>Emilia Larrazabal</t>
  </si>
  <si>
    <t>Ramiro Muñoz</t>
  </si>
  <si>
    <t>Fernando Franco</t>
  </si>
  <si>
    <t>Grupo Sak y Sak S.A</t>
  </si>
  <si>
    <t>Mercedes Lizarralde / Federico Franco</t>
  </si>
  <si>
    <t>Kenny Garay</t>
  </si>
  <si>
    <t>Berta Morales</t>
  </si>
  <si>
    <t>Marielos España</t>
  </si>
  <si>
    <t>David Arimany</t>
  </si>
  <si>
    <t>Irma Leticia Villatoro Bucaro</t>
  </si>
  <si>
    <t>Monica Arimany</t>
  </si>
  <si>
    <t>Mauricio Arimany</t>
  </si>
  <si>
    <t>Astrid Marie Valencia Miranda</t>
  </si>
  <si>
    <t>Alfonso Videche Rodriguez/ Astrid Valencia</t>
  </si>
  <si>
    <t>Diego Román</t>
  </si>
  <si>
    <t>Antonio Vicente  Tzep Tahay</t>
  </si>
  <si>
    <t>Hans Christian Beeck Cazali</t>
  </si>
  <si>
    <t xml:space="preserve">Jose Estuardo Ordoñez Cancinos </t>
  </si>
  <si>
    <t>Irene Reyes</t>
  </si>
  <si>
    <t>Sergio Bolaños</t>
  </si>
  <si>
    <t>Ingrid Lisbeth Dubon García de Díaz</t>
  </si>
  <si>
    <t>Josue Alejandro Arias Perez</t>
  </si>
  <si>
    <t>Miguel Eduardo Yon Moll</t>
  </si>
  <si>
    <t>Claudia Ruth Marianella Paiz Herrera de Alvarez / Jose Eduardo Alvarez Martínez</t>
  </si>
  <si>
    <t>Maria Gabriela Chang</t>
  </si>
  <si>
    <t>Victor Caceres</t>
  </si>
  <si>
    <t>Yonatan Morgan Acajabon</t>
  </si>
  <si>
    <t>Pedro Cordón</t>
  </si>
  <si>
    <t>Lilian America Roldan Ochoa</t>
  </si>
  <si>
    <t>Mario Saul Aragón Zepeda</t>
  </si>
  <si>
    <t>José Castillo</t>
  </si>
  <si>
    <t>Luis Pedro Escobedo</t>
  </si>
  <si>
    <t xml:space="preserve">Jose Ignacio Ramirez Soto </t>
  </si>
  <si>
    <t>Christian Colindres</t>
  </si>
  <si>
    <t>Wendy Barrillas</t>
  </si>
  <si>
    <t>Daniel Augusto Sántos Aragón</t>
  </si>
  <si>
    <t>Clara Hilda Falla Bianchi</t>
  </si>
  <si>
    <t>Juan Pablo Monterroso</t>
  </si>
  <si>
    <t>Business View Sociedad Anonima</t>
  </si>
  <si>
    <t>Javier Soto</t>
  </si>
  <si>
    <t>Enma Suselly Lopez Muy</t>
  </si>
  <si>
    <t>Juan Ernesto Vossberg Ordoñez.</t>
  </si>
  <si>
    <t>Hans Donnis</t>
  </si>
  <si>
    <t>Christian Escobar</t>
  </si>
  <si>
    <t>Luis Fernando Gonzalez Tuchan</t>
  </si>
  <si>
    <t>Mauricio León</t>
  </si>
  <si>
    <t>Herberh Ramos</t>
  </si>
  <si>
    <t>Karla Abril</t>
  </si>
  <si>
    <t>Carlos Rivera</t>
  </si>
  <si>
    <t>Arturo Monzón</t>
  </si>
  <si>
    <t>Raul Cabrera</t>
  </si>
  <si>
    <t>Erika Castro Juarez</t>
  </si>
  <si>
    <t>Josue Ernersto Herrera Aguilar</t>
  </si>
  <si>
    <t>Juan Pablo Gonzalez Tuchan</t>
  </si>
  <si>
    <t>Andrea Elizabeth Ortiz Perez</t>
  </si>
  <si>
    <t>Julio Farnes Bucaro</t>
  </si>
  <si>
    <t>Marcela Alejandra Castro</t>
  </si>
  <si>
    <t>Liseth Barillas</t>
  </si>
  <si>
    <t>Carlos Alejandro De León Samayoa</t>
  </si>
  <si>
    <t>Jorge Daniel Baca Chiroy</t>
  </si>
  <si>
    <t>Jonthan Kiril Thomas Menkos Zeissig</t>
  </si>
  <si>
    <t>Ricardo Alberto Vasquez Monterroso</t>
  </si>
  <si>
    <t>Freddy Alejandro Chinchilla Culajay</t>
  </si>
  <si>
    <t>Aracely Abigail Contreras Zuñiga</t>
  </si>
  <si>
    <t>Jose Reynaldo Linares</t>
  </si>
  <si>
    <t>Alberto Antonio Arrecis Rosales</t>
  </si>
  <si>
    <t>David Eduardo Orellana Rivera</t>
  </si>
  <si>
    <t>Vanessa Granados</t>
  </si>
  <si>
    <t>Neftali De León</t>
  </si>
  <si>
    <t>Wendy Lorena Caal Garcia</t>
  </si>
  <si>
    <t>Andrea Molina</t>
  </si>
  <si>
    <t>Wilson Felix</t>
  </si>
  <si>
    <t>Edgar Sepulveda</t>
  </si>
  <si>
    <t>Pablo José Juarez Pereira</t>
  </si>
  <si>
    <t>Rodolfo Morales Muñoz</t>
  </si>
  <si>
    <t>Gualberto Alonso Salazar Trejo</t>
  </si>
  <si>
    <t>Rosa Gilda Tuchan Valle de Gonzalez</t>
  </si>
  <si>
    <t>COASA, S.A.</t>
  </si>
  <si>
    <t xml:space="preserve">Maria Eugenia Ortiz </t>
  </si>
  <si>
    <t>Jorge Pablo Gonzalez Ordoñez</t>
  </si>
  <si>
    <t>Rosa Padilla</t>
  </si>
  <si>
    <t>Jessica Ramirez</t>
  </si>
  <si>
    <t>Marcela Alejandra Castro Marcia</t>
  </si>
  <si>
    <t>Jorge Reyes</t>
  </si>
  <si>
    <t>Julio Alfonso Aldana Recinos</t>
  </si>
  <si>
    <t>Emerson Menéndez</t>
  </si>
  <si>
    <t xml:space="preserve">Juan Carlos Lantzendorffer </t>
  </si>
  <si>
    <t>Marcas y Secretos, S.A.</t>
  </si>
  <si>
    <t>Eddy Francisco  Macintosh Lopez</t>
  </si>
  <si>
    <t>Josselin Alejandra Turcios Orantes</t>
  </si>
  <si>
    <t>Jorge Silva</t>
  </si>
  <si>
    <t>JMX Inversiones S.A</t>
  </si>
  <si>
    <t>Ricardo Fernando Linares Pérez</t>
  </si>
  <si>
    <t>Marlen Faviola Izaguirre Navas</t>
  </si>
  <si>
    <t>Jose Herrera</t>
  </si>
  <si>
    <t>Selvin Ramiro Gamez Pérez</t>
  </si>
  <si>
    <t>Oliver Garcia</t>
  </si>
  <si>
    <t>Maxi Alexander Mendez Moran</t>
  </si>
  <si>
    <t>Natalí Molina</t>
  </si>
  <si>
    <t xml:space="preserve">Juan Jose Silva </t>
  </si>
  <si>
    <t>Anabella Alburez Aja</t>
  </si>
  <si>
    <t xml:space="preserve">Fredy Velasquez </t>
  </si>
  <si>
    <t>Lesly Franzoli Cortez Avila</t>
  </si>
  <si>
    <t>Gerson Alexander Urias Marquez</t>
  </si>
  <si>
    <t>Byron Nehemías Ortega Ruiz</t>
  </si>
  <si>
    <t>Allan Omar Alvarado Vasquez</t>
  </si>
  <si>
    <t>Antony Williams Sajche Torres</t>
  </si>
  <si>
    <t>Sergio Velasquez</t>
  </si>
  <si>
    <t>Rebecca Gonzalez Ordoñez</t>
  </si>
  <si>
    <t>Amilcar Rivera</t>
  </si>
  <si>
    <t>David Donis</t>
  </si>
  <si>
    <t>Jerson Leonel Chavez Martinez</t>
  </si>
  <si>
    <t>Edgar Muy</t>
  </si>
  <si>
    <t>Luis Carlos Lacayo</t>
  </si>
  <si>
    <t>Antonio Meneses Hernandez</t>
  </si>
  <si>
    <t>Fernando García Coronado</t>
  </si>
  <si>
    <t>José Fernando Cordón</t>
  </si>
  <si>
    <t>Sara Veronica Ortíz de León</t>
  </si>
  <si>
    <t xml:space="preserve">Luis Fernando Velasquez </t>
  </si>
  <si>
    <t>Pablo Alonzo</t>
  </si>
  <si>
    <t>Jose Salvador Franco Rosales</t>
  </si>
  <si>
    <t>Eduar Colindres</t>
  </si>
  <si>
    <t>Gustavo Herrera</t>
  </si>
  <si>
    <t>Sergio Adolfo García Velasquez</t>
  </si>
  <si>
    <t>Juan Carlos del Cid Ramírez / Negocios Estratégicos Regionales, S.A.</t>
  </si>
  <si>
    <t>Allan Rodrigo Godinez Padilla</t>
  </si>
  <si>
    <t>Osmin Otoniel Oliva Cordova</t>
  </si>
  <si>
    <t>Barbara Barrientos</t>
  </si>
  <si>
    <t>Fernando Gacía Coronado</t>
  </si>
  <si>
    <t>Luis Gabriel Garrido Blanco</t>
  </si>
  <si>
    <t>Juan Sebastian Gaitan Serrano</t>
  </si>
  <si>
    <t>Edvin Sajquim</t>
  </si>
  <si>
    <t>Mar Frendi Solly Gramajo Hernández</t>
  </si>
  <si>
    <t>Carmen Soto</t>
  </si>
  <si>
    <t xml:space="preserve">Pedro Artero </t>
  </si>
  <si>
    <t>Edwin Estuardo Acevedo</t>
  </si>
  <si>
    <t>Samuel Salazar</t>
  </si>
  <si>
    <t>Evelyn Aida Samayoa San Jose</t>
  </si>
  <si>
    <t>Leslie Paulette Wauthion Jimenez</t>
  </si>
  <si>
    <t>Fausto Norberth Melgar Mendez</t>
  </si>
  <si>
    <t>Jorge Diaz Duran</t>
  </si>
  <si>
    <t xml:space="preserve">Oscar Antonio González </t>
  </si>
  <si>
    <t>Javier Hernádez</t>
  </si>
  <si>
    <t>Bernerd Alexandro Godínez López</t>
  </si>
  <si>
    <t>Carolina Rivas Le Sage</t>
  </si>
  <si>
    <t>Gerson Andre Villatoro Urizar</t>
  </si>
  <si>
    <t>Manuel Alejandro Ramírez</t>
  </si>
  <si>
    <t>Jose Carlos Samayoa</t>
  </si>
  <si>
    <t>Jose Alejandro Abalony Rojas</t>
  </si>
  <si>
    <t>Karla Denisse Ariana Mendez Contreras</t>
  </si>
  <si>
    <t>Carlos Yon</t>
  </si>
  <si>
    <t>Narvesters Gabriell Moreno Cedeño</t>
  </si>
  <si>
    <t>Flortiz S.A. /Mario Flores</t>
  </si>
  <si>
    <t>Tipo</t>
  </si>
  <si>
    <t>Precio actual</t>
  </si>
  <si>
    <t>M. Interno</t>
  </si>
  <si>
    <t>M. Parqueo</t>
  </si>
  <si>
    <t xml:space="preserve">M. Bodega </t>
  </si>
  <si>
    <t xml:space="preserve">M. Total </t>
  </si>
  <si>
    <t>Precio m2</t>
  </si>
  <si>
    <t>A</t>
  </si>
  <si>
    <t>B 1 parqueo</t>
  </si>
  <si>
    <t xml:space="preserve">B 2 parqueos </t>
  </si>
  <si>
    <t>C1 parqueo</t>
  </si>
  <si>
    <t xml:space="preserve">C2 parqueos 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</si>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</sst>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Q&quot;* #,##0.00_-;\-&quot;Q&quot;* #,##0.00_-;_-&quot;Q&quot;* &quot;-&quot;??_-;_-@_-"/>
    <numFmt numFmtId="164" formatCode="_(* #,##0.00_);_(* \(#,##0.00\);_(* &quot;-&quot;??_);_(@_)"/>
    <numFmt numFmtId="165" formatCode="&quot;Q&quot;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Calibri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3" fillId="2" borderId="1" xfId="3" applyFont="1" applyFill="1" applyBorder="1" applyAlignment="1">
      <alignment horizontal="center" vertical="center"/>
    </xf>
    <xf numFmtId="44" fontId="3" fillId="2" borderId="1" xfId="4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/>
    </xf>
    <xf numFmtId="44" fontId="3" fillId="2" borderId="1" xfId="2" applyFont="1" applyFill="1" applyBorder="1" applyAlignment="1">
      <alignment horizontal="center"/>
    </xf>
    <xf numFmtId="44" fontId="3" fillId="2" borderId="1" xfId="2" applyFont="1" applyFill="1" applyBorder="1" applyAlignment="1">
      <alignment horizontal="center" vertical="center"/>
    </xf>
    <xf numFmtId="0" fontId="3" fillId="2" borderId="1" xfId="2" applyNumberFormat="1" applyFont="1" applyFill="1" applyBorder="1" applyAlignment="1">
      <alignment horizontal="center"/>
    </xf>
    <xf numFmtId="0" fontId="4" fillId="0" borderId="0" xfId="3" applyFont="1"/>
    <xf numFmtId="0" fontId="1" fillId="3" borderId="1" xfId="0" applyFont="1" applyFill="1" applyBorder="1" applyAlignment="1">
      <alignment horizontal="center" vertical="center"/>
    </xf>
    <xf numFmtId="0" fontId="1" fillId="3" borderId="1" xfId="3" applyFill="1" applyBorder="1" applyAlignment="1">
      <alignment horizontal="center" vertical="center"/>
    </xf>
    <xf numFmtId="44" fontId="0" fillId="0" borderId="1" xfId="4" applyFont="1" applyBorder="1" applyAlignment="1">
      <alignment horizontal="center"/>
    </xf>
    <xf numFmtId="2" fontId="1" fillId="0" borderId="1" xfId="3" applyNumberFormat="1" applyBorder="1" applyAlignment="1">
      <alignment horizontal="center"/>
    </xf>
    <xf numFmtId="1" fontId="1" fillId="0" borderId="1" xfId="3" applyNumberFormat="1" applyBorder="1" applyAlignment="1">
      <alignment horizontal="center"/>
    </xf>
    <xf numFmtId="0" fontId="1" fillId="0" borderId="1" xfId="3" applyBorder="1" applyAlignment="1">
      <alignment horizontal="center"/>
    </xf>
    <xf numFmtId="44" fontId="1" fillId="0" borderId="1" xfId="3" applyNumberFormat="1" applyBorder="1" applyAlignment="1">
      <alignment horizontal="center"/>
    </xf>
    <xf numFmtId="44" fontId="1" fillId="0" borderId="1" xfId="2" applyFont="1" applyBorder="1" applyAlignment="1">
      <alignment horizontal="center"/>
    </xf>
    <xf numFmtId="44" fontId="0" fillId="0" borderId="1" xfId="2" applyFont="1" applyFill="1" applyBorder="1" applyAlignment="1">
      <alignment horizontal="center"/>
    </xf>
    <xf numFmtId="44" fontId="0" fillId="3" borderId="1" xfId="2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44" fontId="2" fillId="0" borderId="1" xfId="2" applyFont="1" applyFill="1" applyBorder="1" applyAlignment="1">
      <alignment horizontal="right"/>
    </xf>
    <xf numFmtId="165" fontId="1" fillId="0" borderId="1" xfId="1" applyNumberFormat="1" applyFont="1" applyFill="1" applyBorder="1" applyAlignment="1">
      <alignment horizontal="center" vertical="center"/>
    </xf>
    <xf numFmtId="0" fontId="0" fillId="0" borderId="1" xfId="2" applyNumberFormat="1" applyFont="1" applyFill="1" applyBorder="1" applyAlignment="1">
      <alignment horizontal="center"/>
    </xf>
    <xf numFmtId="0" fontId="1" fillId="3" borderId="1" xfId="3" applyFill="1" applyBorder="1" applyAlignment="1">
      <alignment horizontal="center"/>
    </xf>
    <xf numFmtId="0" fontId="0" fillId="0" borderId="1" xfId="4" applyNumberFormat="1" applyFont="1" applyBorder="1"/>
    <xf numFmtId="0" fontId="1" fillId="0" borderId="0" xfId="3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1" fillId="3" borderId="1" xfId="3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44" fontId="2" fillId="0" borderId="1" xfId="3" applyNumberFormat="1" applyFont="1" applyBorder="1" applyAlignment="1">
      <alignment horizontal="center"/>
    </xf>
    <xf numFmtId="44" fontId="0" fillId="3" borderId="1" xfId="4" applyFont="1" applyFill="1" applyBorder="1" applyAlignment="1">
      <alignment horizontal="center"/>
    </xf>
    <xf numFmtId="2" fontId="1" fillId="3" borderId="1" xfId="3" applyNumberFormat="1" applyFill="1" applyBorder="1" applyAlignment="1">
      <alignment horizontal="center"/>
    </xf>
    <xf numFmtId="1" fontId="1" fillId="3" borderId="1" xfId="3" applyNumberFormat="1" applyFill="1" applyBorder="1" applyAlignment="1">
      <alignment horizontal="center"/>
    </xf>
    <xf numFmtId="44" fontId="2" fillId="3" borderId="1" xfId="2" applyFont="1" applyFill="1" applyBorder="1" applyAlignment="1">
      <alignment horizontal="right"/>
    </xf>
    <xf numFmtId="0" fontId="0" fillId="3" borderId="1" xfId="2" applyNumberFormat="1" applyFont="1" applyFill="1" applyBorder="1" applyAlignment="1">
      <alignment horizontal="center"/>
    </xf>
    <xf numFmtId="0" fontId="0" fillId="3" borderId="1" xfId="4" applyNumberFormat="1" applyFont="1" applyFill="1" applyBorder="1"/>
    <xf numFmtId="0" fontId="1" fillId="3" borderId="0" xfId="3" applyFill="1"/>
    <xf numFmtId="0" fontId="0" fillId="3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4" fontId="7" fillId="0" borderId="1" xfId="2" applyFont="1" applyFill="1" applyBorder="1" applyAlignment="1">
      <alignment horizontal="center" vertical="center"/>
    </xf>
    <xf numFmtId="44" fontId="0" fillId="0" borderId="1" xfId="2" applyFont="1" applyFill="1" applyBorder="1" applyAlignment="1">
      <alignment horizontal="right"/>
    </xf>
    <xf numFmtId="0" fontId="0" fillId="0" borderId="1" xfId="0" applyBorder="1"/>
    <xf numFmtId="0" fontId="8" fillId="3" borderId="1" xfId="0" applyFont="1" applyFill="1" applyBorder="1"/>
    <xf numFmtId="0" fontId="6" fillId="0" borderId="1" xfId="0" applyFont="1" applyBorder="1" applyAlignment="1">
      <alignment horizontal="center"/>
    </xf>
    <xf numFmtId="0" fontId="6" fillId="3" borderId="1" xfId="3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/>
    </xf>
    <xf numFmtId="0" fontId="9" fillId="3" borderId="1" xfId="3" applyFont="1" applyFill="1" applyBorder="1" applyAlignment="1">
      <alignment horizontal="center"/>
    </xf>
    <xf numFmtId="0" fontId="1" fillId="0" borderId="0" xfId="3" applyAlignment="1">
      <alignment horizontal="center"/>
    </xf>
    <xf numFmtId="44" fontId="0" fillId="0" borderId="0" xfId="4" applyFont="1" applyAlignment="1">
      <alignment horizontal="center"/>
    </xf>
    <xf numFmtId="0" fontId="1" fillId="3" borderId="0" xfId="3" applyFill="1" applyAlignment="1">
      <alignment horizontal="center"/>
    </xf>
    <xf numFmtId="44" fontId="1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44" fontId="1" fillId="0" borderId="0" xfId="2" applyFont="1" applyAlignment="1">
      <alignment horizontal="center" vertical="center"/>
    </xf>
    <xf numFmtId="0" fontId="1" fillId="0" borderId="0" xfId="2" applyNumberFormat="1" applyFont="1" applyAlignment="1">
      <alignment horizontal="center"/>
    </xf>
    <xf numFmtId="0" fontId="0" fillId="0" borderId="0" xfId="4" applyNumberFormat="1" applyFont="1"/>
  </cellXfs>
  <cellStyles count="5">
    <cellStyle name="Millares" xfId="1" builtinId="3"/>
    <cellStyle name="Moneda" xfId="2" builtinId="4"/>
    <cellStyle name="Moneda 2" xfId="4" xr:uid="{658507ED-1397-48F4-8020-0D540FD1F748}"/>
    <cellStyle name="Normal" xfId="0" builtinId="0"/>
    <cellStyle name="Normal 3" xfId="3" xr:uid="{BDAD0DC9-F7AF-41A7-9DE1-ED7273362987}"/>
  </cellStyles>
  <dxfs count="6"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theme="9" tint="0.79998168889431442"/>
        </patternFill>
      </fill>
    </dxf>
    <dxf>
      <fill>
        <patternFill>
          <bgColor rgb="FFF18383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nio\OneDrive%20-%20Grupo%20Orion\Alek%20Hernandez's%20files%20-%200.%20Estatus%20Proyectos\Reservas%20y%20Ventas\Boulevard%205\DisponibilIdad%20e%20Integraci&#243;n%20B5%20septiembre%202025.xlsx" TargetMode="External"/><Relationship Id="rId1" Type="http://schemas.openxmlformats.org/officeDocument/2006/relationships/externalLinkPath" Target="file:///C:\Users\Antonio\OneDrive%20-%20Grupo%20Orion\Alek%20Hernandez's%20files%20-%200.%20Estatus%20Proyectos\Reservas%20y%20Ventas\Boulevard%205\DisponibilIdad%20e%20Integraci&#243;n%20B5%20septiembre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nio\Downloads\Cesi&#243;n%20de%20derechos%20Boulevard%205%20(1).xlsx" TargetMode="External"/><Relationship Id="rId1" Type="http://schemas.openxmlformats.org/officeDocument/2006/relationships/externalLinkPath" Target="file:///C:\Users\Antonio\Downloads\Cesi&#243;n%20de%20derechos%20Boulevard%205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cg22-my.sharepoint.com/personal/alek_hernandez_puertaabierta_com_gt/Documents/Documentos/0.%20Estatus%20Proyectos/Documentos%20varios/An&#225;lisis%20de%20Deuda%20-%20Boulevard%205%20OFICIAL.xlsx" TargetMode="External"/><Relationship Id="rId1" Type="http://schemas.openxmlformats.org/officeDocument/2006/relationships/externalLinkPath" Target="An&#225;lisis%20de%20Deuda%20-%20Boulevard%205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tizador contado "/>
      <sheetName val="Matriz Precios A"/>
      <sheetName val="Cotizador automático 2025"/>
      <sheetName val="Cotizador automático Nuevo "/>
      <sheetName val="Cotizador automático"/>
      <sheetName val="Cotizador aptos Terraza"/>
      <sheetName val="Estrategia Febrero "/>
      <sheetName val="Integración "/>
      <sheetName val="Aptos automatizados"/>
      <sheetName val="Matriz Histórica agosto 2025"/>
      <sheetName val="Cesión de derechos"/>
    </sheetNames>
    <sheetDataSet>
      <sheetData sheetId="0"/>
      <sheetData sheetId="1">
        <row r="3">
          <cell r="B3" t="str">
            <v xml:space="preserve">Número </v>
          </cell>
          <cell r="C3" t="str">
            <v>Tipo</v>
          </cell>
          <cell r="D3" t="str">
            <v xml:space="preserve">M² </v>
          </cell>
          <cell r="E3" t="str">
            <v>Habitaciones</v>
          </cell>
          <cell r="F3" t="str">
            <v>No. Bodega  5mts</v>
          </cell>
          <cell r="G3" t="str">
            <v>Balcon</v>
          </cell>
          <cell r="H3" t="str">
            <v xml:space="preserve">Parqueos </v>
          </cell>
          <cell r="I3" t="str">
            <v>Parqueo Tandem</v>
          </cell>
          <cell r="J3" t="str">
            <v xml:space="preserve">Bodega No. </v>
          </cell>
          <cell r="K3" t="str">
            <v>Bodega 
NUEVA UBICACIÓN</v>
          </cell>
          <cell r="L3" t="str">
            <v xml:space="preserve">Comparativa Bodegas </v>
          </cell>
          <cell r="M3" t="str">
            <v>Sotano y parqueo</v>
          </cell>
          <cell r="N3" t="str">
            <v>Sótano y parqueo</v>
          </cell>
          <cell r="O3" t="str">
            <v>Sótano y parqueo NUEVA UBICACIÓN</v>
          </cell>
          <cell r="P3" t="str">
            <v>Comparativa Sótanos</v>
          </cell>
          <cell r="Q3" t="str">
            <v>Q/M2</v>
          </cell>
          <cell r="R3" t="str">
            <v xml:space="preserve">Precio sin imp </v>
          </cell>
          <cell r="S3" t="str">
            <v>Precio (Impuestos)</v>
          </cell>
          <cell r="T3" t="str">
            <v>Precio sin imp FHA</v>
          </cell>
          <cell r="U3" t="str">
            <v>Aproximacion - FHA</v>
          </cell>
          <cell r="V3" t="str">
            <v>Ajuste 1</v>
          </cell>
          <cell r="W3" t="str">
            <v>Precio de Venta</v>
          </cell>
          <cell r="X3" t="str">
            <v>Ajuste 2</v>
          </cell>
          <cell r="Y3" t="str">
            <v>Descuento 1</v>
          </cell>
          <cell r="Z3" t="str">
            <v>Descuento 2</v>
          </cell>
          <cell r="AA3" t="str">
            <v>Precio final venta</v>
          </cell>
          <cell r="AB3" t="str">
            <v>Ajuste 3</v>
          </cell>
          <cell r="AC3" t="str">
            <v>Precio final venta</v>
          </cell>
          <cell r="AD3" t="str">
            <v>Ajuste 4</v>
          </cell>
          <cell r="AE3" t="str">
            <v>Ajuste 5</v>
          </cell>
          <cell r="AF3" t="str">
            <v>Precio final venta</v>
          </cell>
          <cell r="AG3" t="str">
            <v>Ajuste 6</v>
          </cell>
          <cell r="AH3" t="str">
            <v>Ajuste 7</v>
          </cell>
          <cell r="AI3" t="str">
            <v>Último precio de Venta</v>
          </cell>
          <cell r="AJ3" t="str">
            <v>Ajuste 8</v>
          </cell>
          <cell r="AK3" t="str">
            <v xml:space="preserve">Ajuste 9 </v>
          </cell>
          <cell r="AL3" t="str">
            <v xml:space="preserve">Ajuste desistimiento </v>
          </cell>
          <cell r="AM3" t="str">
            <v>Descuento Promoción últimas unidades</v>
          </cell>
          <cell r="AN3" t="str">
            <v>Precio Final de Venta</v>
          </cell>
          <cell r="AO3" t="str">
            <v>Precio Final de Venta REDONDEADO</v>
          </cell>
          <cell r="AP3" t="str">
            <v xml:space="preserve">Precio promesa </v>
          </cell>
          <cell r="AQ3" t="str">
            <v>Enganche 10%</v>
          </cell>
          <cell r="AR3" t="str">
            <v>Reserva</v>
          </cell>
          <cell r="AS3" t="str">
            <v xml:space="preserve">Fraccionado </v>
          </cell>
          <cell r="AT3" t="str">
            <v>Monto a financiar</v>
          </cell>
          <cell r="AU3" t="str">
            <v xml:space="preserve">Cuota banco </v>
          </cell>
          <cell r="AV3" t="str">
            <v>IUSI</v>
          </cell>
          <cell r="AW3" t="str">
            <v xml:space="preserve">Seguro </v>
          </cell>
          <cell r="AX3" t="str">
            <v xml:space="preserve">Total </v>
          </cell>
          <cell r="AY3" t="str">
            <v>Precio /$s</v>
          </cell>
          <cell r="BF3" t="str">
            <v>Estatus</v>
          </cell>
          <cell r="BG3" t="str">
            <v>Cliente</v>
          </cell>
          <cell r="BH3" t="str">
            <v>Asesor</v>
          </cell>
          <cell r="BI3" t="str">
            <v xml:space="preserve">Fecha de Reserva </v>
          </cell>
          <cell r="BJ3" t="str">
            <v>Family</v>
          </cell>
          <cell r="BK3" t="str">
            <v>Referido</v>
          </cell>
          <cell r="BL3" t="str">
            <v>CRM</v>
          </cell>
          <cell r="BM3" t="str">
            <v>Papeleria</v>
          </cell>
          <cell r="BN3" t="str">
            <v>Deposito, transferencia o cheque</v>
          </cell>
          <cell r="BO3" t="str">
            <v>LEGAL</v>
          </cell>
          <cell r="BP3" t="str">
            <v>DIFERENCIAS</v>
          </cell>
        </row>
        <row r="4">
          <cell r="B4">
            <v>101</v>
          </cell>
          <cell r="C4" t="str">
            <v>A7.1</v>
          </cell>
          <cell r="D4">
            <v>31.299999999999997</v>
          </cell>
          <cell r="E4">
            <v>1</v>
          </cell>
          <cell r="G4">
            <v>8</v>
          </cell>
          <cell r="H4">
            <v>1</v>
          </cell>
          <cell r="L4" t="str">
            <v>IGUAL</v>
          </cell>
          <cell r="M4" t="str">
            <v>S-5_328</v>
          </cell>
          <cell r="N4" t="str">
            <v>S5_328</v>
          </cell>
          <cell r="O4" t="str">
            <v>S5_229</v>
          </cell>
          <cell r="P4" t="str">
            <v>MISMO SÓTANO</v>
          </cell>
          <cell r="Q4">
            <v>13368.75</v>
          </cell>
          <cell r="R4">
            <v>589872.27499999991</v>
          </cell>
          <cell r="S4">
            <v>644730.3965749999</v>
          </cell>
          <cell r="T4">
            <v>589935.95608417201</v>
          </cell>
          <cell r="U4">
            <v>644800</v>
          </cell>
          <cell r="W4">
            <v>644800</v>
          </cell>
          <cell r="AA4">
            <v>644800</v>
          </cell>
          <cell r="AC4">
            <v>644800</v>
          </cell>
          <cell r="AF4">
            <v>644800</v>
          </cell>
          <cell r="AH4">
            <v>0</v>
          </cell>
          <cell r="AI4">
            <v>644800</v>
          </cell>
          <cell r="AN4">
            <v>644800</v>
          </cell>
          <cell r="AO4">
            <v>644800</v>
          </cell>
          <cell r="AP4">
            <v>644800</v>
          </cell>
          <cell r="AQ4">
            <v>64480</v>
          </cell>
          <cell r="AR4">
            <v>10000</v>
          </cell>
          <cell r="AS4">
            <v>54480</v>
          </cell>
          <cell r="AT4">
            <v>580320</v>
          </cell>
          <cell r="AU4">
            <v>3962.742306630566</v>
          </cell>
          <cell r="AV4">
            <v>309.71637694419024</v>
          </cell>
          <cell r="AW4">
            <v>188.06666666666669</v>
          </cell>
          <cell r="AX4">
            <v>4460.5253502414225</v>
          </cell>
          <cell r="AY4" t="e">
            <v>#REF!</v>
          </cell>
          <cell r="BA4" t="str">
            <v>Promedio</v>
          </cell>
          <cell r="BB4" t="e">
            <v>#REF!</v>
          </cell>
          <cell r="BD4" t="str">
            <v>Promedio</v>
          </cell>
          <cell r="BE4">
            <v>970265.00819283689</v>
          </cell>
          <cell r="BF4" t="str">
            <v>PCV</v>
          </cell>
          <cell r="BG4" t="str">
            <v>Karla Abril</v>
          </cell>
          <cell r="BH4" t="str">
            <v>Alexander Franco</v>
          </cell>
          <cell r="BL4">
            <v>1</v>
          </cell>
          <cell r="BM4">
            <v>1</v>
          </cell>
          <cell r="BN4">
            <v>1</v>
          </cell>
          <cell r="BO4">
            <v>644800</v>
          </cell>
          <cell r="BP4">
            <v>0</v>
          </cell>
        </row>
        <row r="5">
          <cell r="B5">
            <v>102</v>
          </cell>
          <cell r="C5" t="str">
            <v>B4.1</v>
          </cell>
          <cell r="D5">
            <v>48.31</v>
          </cell>
          <cell r="E5">
            <v>2</v>
          </cell>
          <cell r="F5">
            <v>1</v>
          </cell>
          <cell r="G5">
            <v>13.04</v>
          </cell>
          <cell r="H5">
            <v>1</v>
          </cell>
          <cell r="J5">
            <v>104</v>
          </cell>
          <cell r="K5">
            <v>105</v>
          </cell>
          <cell r="L5" t="str">
            <v>DIFERENTE</v>
          </cell>
          <cell r="M5" t="str">
            <v>S-5_367</v>
          </cell>
          <cell r="N5" t="str">
            <v>S5_367</v>
          </cell>
          <cell r="O5" t="str">
            <v>S5_268</v>
          </cell>
          <cell r="P5" t="str">
            <v>MISMO SÓTANO</v>
          </cell>
          <cell r="Q5">
            <v>13368.75</v>
          </cell>
          <cell r="R5">
            <v>915819.86450000003</v>
          </cell>
          <cell r="S5">
            <v>1000991.1118985</v>
          </cell>
          <cell r="T5">
            <v>915827.99634034769</v>
          </cell>
          <cell r="U5">
            <v>1001000</v>
          </cell>
          <cell r="V5">
            <v>50100</v>
          </cell>
          <cell r="W5">
            <v>1051100</v>
          </cell>
          <cell r="AA5">
            <v>1051100</v>
          </cell>
          <cell r="AC5">
            <v>1051100</v>
          </cell>
          <cell r="AF5">
            <v>1051100</v>
          </cell>
          <cell r="AG5">
            <v>157665</v>
          </cell>
          <cell r="AH5">
            <v>20149.978240869939</v>
          </cell>
          <cell r="AI5">
            <v>1228914.9782408699</v>
          </cell>
          <cell r="AK5">
            <v>10000</v>
          </cell>
          <cell r="AM5">
            <v>84900</v>
          </cell>
          <cell r="AN5">
            <v>1154014.9782408699</v>
          </cell>
          <cell r="AO5">
            <v>1154100</v>
          </cell>
          <cell r="AP5">
            <v>1154100</v>
          </cell>
          <cell r="AQ5">
            <v>122891.497824087</v>
          </cell>
          <cell r="AR5">
            <v>10000</v>
          </cell>
          <cell r="AS5">
            <v>112891.497824087</v>
          </cell>
          <cell r="AT5">
            <v>1106023.4804167829</v>
          </cell>
          <cell r="AU5">
            <v>7552.5331506313223</v>
          </cell>
          <cell r="AV5">
            <v>590.28395569666657</v>
          </cell>
          <cell r="AW5">
            <v>358.43353532025372</v>
          </cell>
          <cell r="AX5">
            <v>8501.2506416482429</v>
          </cell>
          <cell r="AY5" t="e">
            <v>#REF!</v>
          </cell>
          <cell r="BF5" t="str">
            <v>PCV</v>
          </cell>
          <cell r="BG5" t="str">
            <v>Irma Leticia Villatoro Bucaro</v>
          </cell>
          <cell r="BH5" t="str">
            <v>Erwin Cardona</v>
          </cell>
          <cell r="BI5">
            <v>46011</v>
          </cell>
          <cell r="BK5" t="str">
            <v>Claudia Ruth Marianela Paiz Herrera</v>
          </cell>
          <cell r="BL5" t="str">
            <v>Referido</v>
          </cell>
          <cell r="BN5">
            <v>1</v>
          </cell>
          <cell r="BO5">
            <v>1051100</v>
          </cell>
          <cell r="BP5">
            <v>0</v>
          </cell>
        </row>
        <row r="6">
          <cell r="B6">
            <v>103</v>
          </cell>
          <cell r="C6" t="str">
            <v>E1.1</v>
          </cell>
          <cell r="D6">
            <v>73.94</v>
          </cell>
          <cell r="E6">
            <v>3</v>
          </cell>
          <cell r="F6">
            <v>1</v>
          </cell>
          <cell r="G6">
            <v>17.45</v>
          </cell>
          <cell r="I6">
            <v>1</v>
          </cell>
          <cell r="J6">
            <v>2</v>
          </cell>
          <cell r="K6">
            <v>2</v>
          </cell>
          <cell r="L6" t="str">
            <v>IGUAL</v>
          </cell>
          <cell r="M6" t="str">
            <v>S-1_06-07</v>
          </cell>
          <cell r="N6" t="str">
            <v>S1_06-07</v>
          </cell>
          <cell r="O6" t="str">
            <v>S1_2</v>
          </cell>
          <cell r="P6" t="str">
            <v>MISMO SÓTANO</v>
          </cell>
          <cell r="Q6">
            <v>13175</v>
          </cell>
          <cell r="R6">
            <v>1368486.06</v>
          </cell>
          <cell r="S6">
            <v>1495755.26358</v>
          </cell>
          <cell r="T6">
            <v>1368526.9899359562</v>
          </cell>
          <cell r="U6">
            <v>1495800</v>
          </cell>
          <cell r="W6">
            <v>1495800</v>
          </cell>
          <cell r="AA6">
            <v>1495800</v>
          </cell>
          <cell r="AC6">
            <v>1495800</v>
          </cell>
          <cell r="AF6">
            <v>1495800</v>
          </cell>
          <cell r="AH6">
            <v>0</v>
          </cell>
          <cell r="AI6">
            <v>1495800</v>
          </cell>
          <cell r="AN6">
            <v>1495800</v>
          </cell>
          <cell r="AO6">
            <v>1495800</v>
          </cell>
          <cell r="AP6">
            <v>1495800</v>
          </cell>
          <cell r="AQ6">
            <v>149580</v>
          </cell>
          <cell r="AR6">
            <v>10000</v>
          </cell>
          <cell r="AS6">
            <v>139580</v>
          </cell>
          <cell r="AT6">
            <v>1346220</v>
          </cell>
          <cell r="AU6">
            <v>9192.7263372487596</v>
          </cell>
          <cell r="AV6">
            <v>718.47666971637693</v>
          </cell>
          <cell r="AW6">
            <v>436.27500000000003</v>
          </cell>
          <cell r="AX6">
            <v>10347.478006965137</v>
          </cell>
          <cell r="AY6" t="e">
            <v>#REF!</v>
          </cell>
          <cell r="BA6" t="str">
            <v>Max</v>
          </cell>
          <cell r="BB6" t="e">
            <v>#REF!</v>
          </cell>
          <cell r="BD6" t="str">
            <v>Max</v>
          </cell>
          <cell r="BE6">
            <v>1495755.26358</v>
          </cell>
          <cell r="BF6" t="str">
            <v>PCV</v>
          </cell>
          <cell r="BG6" t="str">
            <v>International Coffee</v>
          </cell>
          <cell r="BH6" t="str">
            <v>Junta Directiva</v>
          </cell>
          <cell r="BO6">
            <v>1533200</v>
          </cell>
          <cell r="BP6">
            <v>37400</v>
          </cell>
        </row>
        <row r="7">
          <cell r="B7">
            <v>104</v>
          </cell>
          <cell r="C7" t="str">
            <v>A4.1</v>
          </cell>
          <cell r="D7">
            <v>34.050000000000004</v>
          </cell>
          <cell r="E7">
            <v>1</v>
          </cell>
          <cell r="G7">
            <v>8.69</v>
          </cell>
          <cell r="H7">
            <v>1</v>
          </cell>
          <cell r="L7" t="str">
            <v>IGUAL</v>
          </cell>
          <cell r="M7" t="str">
            <v>S-5_329</v>
          </cell>
          <cell r="N7" t="str">
            <v>S5_329</v>
          </cell>
          <cell r="O7" t="str">
            <v>S5_230</v>
          </cell>
          <cell r="P7" t="str">
            <v>MISMO SÓTANO</v>
          </cell>
          <cell r="Q7">
            <v>13368.75</v>
          </cell>
          <cell r="R7">
            <v>631072.20950000011</v>
          </cell>
          <cell r="S7">
            <v>689761.92498350015</v>
          </cell>
          <cell r="T7">
            <v>631107.04483074113</v>
          </cell>
          <cell r="U7">
            <v>689800</v>
          </cell>
          <cell r="V7">
            <v>38000</v>
          </cell>
          <cell r="W7">
            <v>727800</v>
          </cell>
          <cell r="AA7">
            <v>727800</v>
          </cell>
          <cell r="AC7">
            <v>727800</v>
          </cell>
          <cell r="AF7">
            <v>727800</v>
          </cell>
          <cell r="AH7">
            <v>0</v>
          </cell>
          <cell r="AI7">
            <v>727800</v>
          </cell>
          <cell r="AN7">
            <v>727800</v>
          </cell>
          <cell r="AO7">
            <v>727800</v>
          </cell>
          <cell r="AP7">
            <v>727800</v>
          </cell>
          <cell r="AQ7">
            <v>72780</v>
          </cell>
          <cell r="AR7">
            <v>10000</v>
          </cell>
          <cell r="AS7">
            <v>62780</v>
          </cell>
          <cell r="AT7">
            <v>655020</v>
          </cell>
          <cell r="AU7">
            <v>4472.8347561503197</v>
          </cell>
          <cell r="AV7">
            <v>349.58371454711801</v>
          </cell>
          <cell r="AW7">
            <v>212.27500000000001</v>
          </cell>
          <cell r="AX7">
            <v>5034.6934706974371</v>
          </cell>
          <cell r="AY7" t="e">
            <v>#REF!</v>
          </cell>
          <cell r="BF7" t="str">
            <v>PCV</v>
          </cell>
          <cell r="BG7" t="str">
            <v>Jonathan José Morales Salazar</v>
          </cell>
          <cell r="BH7" t="str">
            <v>Antonio Rada</v>
          </cell>
          <cell r="BL7">
            <v>1</v>
          </cell>
          <cell r="BM7">
            <v>1</v>
          </cell>
          <cell r="BN7">
            <v>1</v>
          </cell>
          <cell r="BO7">
            <v>727800</v>
          </cell>
          <cell r="BP7">
            <v>0</v>
          </cell>
        </row>
        <row r="8">
          <cell r="B8">
            <v>105</v>
          </cell>
          <cell r="C8" t="str">
            <v>B7.1</v>
          </cell>
          <cell r="D8">
            <v>51.65</v>
          </cell>
          <cell r="E8">
            <v>2</v>
          </cell>
          <cell r="G8">
            <v>12.79</v>
          </cell>
          <cell r="H8">
            <v>1</v>
          </cell>
          <cell r="J8">
            <v>136</v>
          </cell>
          <cell r="L8" t="str">
            <v>DIFERENTE</v>
          </cell>
          <cell r="M8" t="str">
            <v>S-5_105</v>
          </cell>
          <cell r="N8" t="str">
            <v>S5_105</v>
          </cell>
          <cell r="O8" t="str">
            <v>S5_267</v>
          </cell>
          <cell r="P8" t="str">
            <v>MISMO SÓTANO</v>
          </cell>
          <cell r="Q8">
            <v>13175</v>
          </cell>
          <cell r="R8">
            <v>882713.10199999996</v>
          </cell>
          <cell r="S8">
            <v>964805.4204859999</v>
          </cell>
          <cell r="T8">
            <v>882799.6340347667</v>
          </cell>
          <cell r="U8">
            <v>964900</v>
          </cell>
          <cell r="V8">
            <v>48300</v>
          </cell>
          <cell r="W8">
            <v>1013200</v>
          </cell>
          <cell r="AA8">
            <v>1013200</v>
          </cell>
          <cell r="AC8">
            <v>1013200</v>
          </cell>
          <cell r="AF8">
            <v>1013200</v>
          </cell>
          <cell r="AG8">
            <v>151980</v>
          </cell>
          <cell r="AH8">
            <v>19423.421133720083</v>
          </cell>
          <cell r="AI8">
            <v>1184603.4211337201</v>
          </cell>
          <cell r="AJ8">
            <v>92922.239479360418</v>
          </cell>
          <cell r="AK8">
            <v>10000</v>
          </cell>
          <cell r="AM8">
            <v>84900</v>
          </cell>
          <cell r="AN8">
            <v>1202625.6606130805</v>
          </cell>
          <cell r="AO8">
            <v>1202700</v>
          </cell>
          <cell r="AP8">
            <v>1202700</v>
          </cell>
          <cell r="AQ8">
            <v>118460.34211337201</v>
          </cell>
          <cell r="AR8">
            <v>10000</v>
          </cell>
          <cell r="AS8">
            <v>108460.34211337201</v>
          </cell>
          <cell r="AT8">
            <v>1066143.0790203481</v>
          </cell>
          <cell r="AU8">
            <v>7280.2079613925225</v>
          </cell>
          <cell r="AV8">
            <v>568.99981344483342</v>
          </cell>
          <cell r="AW8">
            <v>345.50933116400171</v>
          </cell>
          <cell r="AX8">
            <v>8194.717106001357</v>
          </cell>
          <cell r="AY8" t="e">
            <v>#REF!</v>
          </cell>
          <cell r="BA8" t="str">
            <v>Min</v>
          </cell>
          <cell r="BB8" t="e">
            <v>#REF!</v>
          </cell>
          <cell r="BD8" t="str">
            <v>Min</v>
          </cell>
          <cell r="BE8">
            <v>617544.01575350005</v>
          </cell>
          <cell r="BF8" t="str">
            <v>Reservado</v>
          </cell>
          <cell r="BG8" t="str">
            <v>Julio Fernando Flores Interiano</v>
          </cell>
          <cell r="BH8" t="str">
            <v xml:space="preserve">Traslado </v>
          </cell>
          <cell r="BI8">
            <v>45903</v>
          </cell>
          <cell r="BO8">
            <v>1013200</v>
          </cell>
          <cell r="BP8">
            <v>0</v>
          </cell>
        </row>
        <row r="9">
          <cell r="B9">
            <v>106</v>
          </cell>
          <cell r="C9" t="str">
            <v>B2.1</v>
          </cell>
          <cell r="D9">
            <v>51.18</v>
          </cell>
          <cell r="E9">
            <v>2</v>
          </cell>
          <cell r="F9">
            <v>1</v>
          </cell>
          <cell r="G9">
            <v>11.46</v>
          </cell>
          <cell r="I9">
            <v>1</v>
          </cell>
          <cell r="J9">
            <v>120</v>
          </cell>
          <cell r="K9">
            <v>121</v>
          </cell>
          <cell r="L9" t="str">
            <v>DIFERENTE</v>
          </cell>
          <cell r="M9" t="str">
            <v>S-5_394-395</v>
          </cell>
          <cell r="N9" t="str">
            <v>S5_394-395</v>
          </cell>
          <cell r="O9" t="str">
            <v>S5_282</v>
          </cell>
          <cell r="P9" t="str">
            <v>MISMO SÓTANO</v>
          </cell>
          <cell r="Q9">
            <v>13175</v>
          </cell>
          <cell r="R9">
            <v>1030114.548</v>
          </cell>
          <cell r="S9">
            <v>1125915.2009639998</v>
          </cell>
          <cell r="T9">
            <v>1030192.131747484</v>
          </cell>
          <cell r="U9">
            <v>1126000</v>
          </cell>
          <cell r="V9">
            <v>56300</v>
          </cell>
          <cell r="W9">
            <v>1182300</v>
          </cell>
          <cell r="AA9">
            <v>1182300</v>
          </cell>
          <cell r="AC9">
            <v>1182300</v>
          </cell>
          <cell r="AF9">
            <v>1182300</v>
          </cell>
          <cell r="AG9">
            <v>177345</v>
          </cell>
          <cell r="AH9">
            <v>22665.131076189922</v>
          </cell>
          <cell r="AI9">
            <v>1382310.1310761899</v>
          </cell>
          <cell r="AJ9">
            <v>41469.303932285693</v>
          </cell>
          <cell r="AK9">
            <v>10000</v>
          </cell>
          <cell r="AM9">
            <v>84900</v>
          </cell>
          <cell r="AN9">
            <v>1348879.4350084756</v>
          </cell>
          <cell r="AO9">
            <v>1348900</v>
          </cell>
          <cell r="AP9">
            <v>1348900</v>
          </cell>
          <cell r="AQ9">
            <v>138231.01310761899</v>
          </cell>
          <cell r="AR9">
            <v>10000</v>
          </cell>
          <cell r="AS9">
            <v>128231.01310761899</v>
          </cell>
          <cell r="AT9">
            <v>1244079.1179685709</v>
          </cell>
          <cell r="AU9">
            <v>8495.252539236446</v>
          </cell>
          <cell r="AV9">
            <v>663.96415262122571</v>
          </cell>
          <cell r="AW9">
            <v>403.17378823055537</v>
          </cell>
          <cell r="AX9">
            <v>9562.3904800882265</v>
          </cell>
          <cell r="AY9" t="e">
            <v>#REF!</v>
          </cell>
          <cell r="BF9" t="str">
            <v>PCV</v>
          </cell>
          <cell r="BG9" t="str">
            <v>Claudia Ruth Marianella Paiz Herrera de Alvarez / Jose Eduardo Alvarez Martínez</v>
          </cell>
          <cell r="BH9" t="str">
            <v>Erwin Cardona</v>
          </cell>
          <cell r="BI9">
            <v>46013</v>
          </cell>
          <cell r="BL9" t="str">
            <v>Lead</v>
          </cell>
          <cell r="BN9">
            <v>1</v>
          </cell>
          <cell r="BO9">
            <v>1182300</v>
          </cell>
          <cell r="BP9">
            <v>0</v>
          </cell>
        </row>
        <row r="10">
          <cell r="B10">
            <v>107</v>
          </cell>
          <cell r="C10" t="str">
            <v>B6.1</v>
          </cell>
          <cell r="D10">
            <v>48.77</v>
          </cell>
          <cell r="E10">
            <v>2</v>
          </cell>
          <cell r="G10">
            <v>12.51</v>
          </cell>
          <cell r="H10">
            <v>1</v>
          </cell>
          <cell r="L10" t="str">
            <v>IGUAL</v>
          </cell>
          <cell r="M10" t="str">
            <v>S-2-130</v>
          </cell>
          <cell r="N10" t="str">
            <v>S2_130</v>
          </cell>
          <cell r="O10" t="str">
            <v>S2_88</v>
          </cell>
          <cell r="P10" t="str">
            <v>MISMO SÓTANO</v>
          </cell>
          <cell r="Q10">
            <v>13175</v>
          </cell>
          <cell r="R10">
            <v>842969.03799999994</v>
          </cell>
          <cell r="S10">
            <v>921365.15853399993</v>
          </cell>
          <cell r="T10">
            <v>843000.91491308331</v>
          </cell>
          <cell r="U10">
            <v>921400</v>
          </cell>
          <cell r="V10">
            <v>46100</v>
          </cell>
          <cell r="W10">
            <v>967500</v>
          </cell>
          <cell r="AA10">
            <v>967500</v>
          </cell>
          <cell r="AC10">
            <v>967500</v>
          </cell>
          <cell r="AF10">
            <v>967500</v>
          </cell>
          <cell r="AG10">
            <v>145125</v>
          </cell>
          <cell r="AH10">
            <v>18547.335123250028</v>
          </cell>
          <cell r="AI10">
            <v>1131172.33512325</v>
          </cell>
          <cell r="AJ10">
            <v>89182.063458627512</v>
          </cell>
          <cell r="AK10">
            <v>10000</v>
          </cell>
          <cell r="AM10">
            <v>84900</v>
          </cell>
          <cell r="AN10">
            <v>1145454.3985818776</v>
          </cell>
          <cell r="AO10">
            <v>1145500</v>
          </cell>
          <cell r="AQ10">
            <v>113117.23351232501</v>
          </cell>
          <cell r="AR10">
            <v>10000</v>
          </cell>
          <cell r="AS10">
            <v>103117.23351232501</v>
          </cell>
          <cell r="AT10">
            <v>1018055.101610925</v>
          </cell>
          <cell r="AU10">
            <v>6951.8369548433493</v>
          </cell>
          <cell r="AV10">
            <v>543.33529363193622</v>
          </cell>
          <cell r="AW10">
            <v>329.92526441094793</v>
          </cell>
          <cell r="AX10">
            <v>7825.0975128862337</v>
          </cell>
          <cell r="AY10" t="e">
            <v>#REF!</v>
          </cell>
          <cell r="BF10" t="str">
            <v>Disponible</v>
          </cell>
          <cell r="BO10">
            <v>967500</v>
          </cell>
          <cell r="BP10">
            <v>0</v>
          </cell>
        </row>
        <row r="11">
          <cell r="B11">
            <v>108</v>
          </cell>
          <cell r="C11" t="str">
            <v>B1.1</v>
          </cell>
          <cell r="D11">
            <v>47.8</v>
          </cell>
          <cell r="E11">
            <v>2</v>
          </cell>
          <cell r="F11">
            <v>1</v>
          </cell>
          <cell r="G11">
            <v>10.61</v>
          </cell>
          <cell r="I11">
            <v>1</v>
          </cell>
          <cell r="J11">
            <v>109</v>
          </cell>
          <cell r="K11">
            <v>110</v>
          </cell>
          <cell r="L11" t="str">
            <v>DIFERENTE</v>
          </cell>
          <cell r="M11" t="str">
            <v>S-5_376-377</v>
          </cell>
          <cell r="N11" t="str">
            <v>S5_376-377</v>
          </cell>
          <cell r="O11" t="str">
            <v>S5_273</v>
          </cell>
          <cell r="P11" t="str">
            <v>MISMO SÓTANO</v>
          </cell>
          <cell r="Q11">
            <v>13175</v>
          </cell>
          <cell r="R11">
            <v>980118.56799999997</v>
          </cell>
          <cell r="S11">
            <v>1071269.594824</v>
          </cell>
          <cell r="T11">
            <v>980146.38609332114</v>
          </cell>
          <cell r="U11">
            <v>1071300</v>
          </cell>
          <cell r="V11">
            <v>53600</v>
          </cell>
          <cell r="W11">
            <v>1124900</v>
          </cell>
          <cell r="AA11">
            <v>1124900</v>
          </cell>
          <cell r="AC11">
            <v>1124900</v>
          </cell>
          <cell r="AF11">
            <v>1124900</v>
          </cell>
          <cell r="AG11">
            <v>168735</v>
          </cell>
          <cell r="AH11">
            <v>21564.751710739918</v>
          </cell>
          <cell r="AI11">
            <v>1315199.7517107399</v>
          </cell>
          <cell r="AJ11">
            <v>88911.985102644394</v>
          </cell>
          <cell r="AK11">
            <v>10000</v>
          </cell>
          <cell r="AM11">
            <v>84900</v>
          </cell>
          <cell r="AN11">
            <v>1329211.7368133843</v>
          </cell>
          <cell r="AO11">
            <v>1329300</v>
          </cell>
          <cell r="AQ11">
            <v>131519.97517107401</v>
          </cell>
          <cell r="AR11">
            <v>10000</v>
          </cell>
          <cell r="AS11">
            <v>121519.97517107401</v>
          </cell>
          <cell r="AT11">
            <v>1183679.7765396659</v>
          </cell>
          <cell r="AU11">
            <v>8082.8128067217194</v>
          </cell>
          <cell r="AV11">
            <v>631.72906646673221</v>
          </cell>
          <cell r="AW11">
            <v>383.59992758229919</v>
          </cell>
          <cell r="AX11">
            <v>9098.1418007707507</v>
          </cell>
          <cell r="AY11" t="e">
            <v>#REF!</v>
          </cell>
          <cell r="BF11" t="str">
            <v>Disponible</v>
          </cell>
          <cell r="BO11">
            <v>1124900</v>
          </cell>
          <cell r="BP11">
            <v>0</v>
          </cell>
        </row>
        <row r="12">
          <cell r="B12">
            <v>109</v>
          </cell>
          <cell r="C12" t="str">
            <v>E2.1</v>
          </cell>
          <cell r="D12">
            <v>69.55</v>
          </cell>
          <cell r="E12">
            <v>3</v>
          </cell>
          <cell r="F12">
            <v>1</v>
          </cell>
          <cell r="G12">
            <v>17.059999999999999</v>
          </cell>
          <cell r="I12">
            <v>1</v>
          </cell>
          <cell r="J12">
            <v>33</v>
          </cell>
          <cell r="K12">
            <v>38</v>
          </cell>
          <cell r="L12" t="str">
            <v>DIFERENTE</v>
          </cell>
          <cell r="M12" t="str">
            <v>S-2_111-112</v>
          </cell>
          <cell r="N12" t="str">
            <v>S2_111-112</v>
          </cell>
          <cell r="O12" t="str">
            <v>S2_76</v>
          </cell>
          <cell r="P12" t="str">
            <v>MISMO SÓTANO</v>
          </cell>
          <cell r="Q12">
            <v>12710</v>
          </cell>
          <cell r="R12">
            <v>1275799.828</v>
          </cell>
          <cell r="S12">
            <v>1394449.2120039999</v>
          </cell>
          <cell r="T12">
            <v>1275846.2946020127</v>
          </cell>
          <cell r="U12">
            <v>1394500</v>
          </cell>
          <cell r="V12">
            <v>34900</v>
          </cell>
          <cell r="W12">
            <v>1429400</v>
          </cell>
          <cell r="AA12">
            <v>1429400</v>
          </cell>
          <cell r="AC12">
            <v>1429400</v>
          </cell>
          <cell r="AD12">
            <v>57176</v>
          </cell>
          <cell r="AF12">
            <v>1486576</v>
          </cell>
          <cell r="AH12">
            <v>0</v>
          </cell>
          <cell r="AI12">
            <v>1486576</v>
          </cell>
          <cell r="AN12">
            <v>1486576</v>
          </cell>
          <cell r="AO12">
            <v>1486600</v>
          </cell>
          <cell r="AP12">
            <v>1486576</v>
          </cell>
          <cell r="AQ12">
            <v>148657.60000000001</v>
          </cell>
          <cell r="AR12">
            <v>10000</v>
          </cell>
          <cell r="AS12">
            <v>138657.60000000001</v>
          </cell>
          <cell r="AT12">
            <v>1337918.3999999999</v>
          </cell>
          <cell r="AU12">
            <v>9136.0384727382752</v>
          </cell>
          <cell r="AV12">
            <v>714.04611161939602</v>
          </cell>
          <cell r="AW12">
            <v>433.58466666666669</v>
          </cell>
          <cell r="AX12">
            <v>10283.669251024339</v>
          </cell>
          <cell r="AY12" t="e">
            <v>#REF!</v>
          </cell>
          <cell r="BF12" t="str">
            <v>PCV</v>
          </cell>
          <cell r="BG12" t="str">
            <v>Laura Elisa Ovalle González</v>
          </cell>
          <cell r="BH12" t="str">
            <v>Antonio Rada</v>
          </cell>
          <cell r="BN12">
            <v>1</v>
          </cell>
          <cell r="BO12">
            <v>1429400</v>
          </cell>
          <cell r="BP12">
            <v>0</v>
          </cell>
        </row>
        <row r="13">
          <cell r="B13">
            <v>110</v>
          </cell>
          <cell r="C13" t="str">
            <v>A2.1</v>
          </cell>
          <cell r="D13">
            <v>33.629999999999995</v>
          </cell>
          <cell r="E13">
            <v>1</v>
          </cell>
          <cell r="G13">
            <v>8.3000000000000007</v>
          </cell>
          <cell r="H13">
            <v>1</v>
          </cell>
          <cell r="L13" t="str">
            <v>IGUAL</v>
          </cell>
          <cell r="M13" t="str">
            <v>S-5_110</v>
          </cell>
          <cell r="N13" t="str">
            <v>S5_110</v>
          </cell>
          <cell r="O13" t="str">
            <v>S5_231</v>
          </cell>
          <cell r="P13" t="str">
            <v>MISMO SÓTANO</v>
          </cell>
          <cell r="Q13">
            <v>13368.75</v>
          </cell>
          <cell r="R13">
            <v>622950.10249999992</v>
          </cell>
          <cell r="S13">
            <v>680884.46203249984</v>
          </cell>
          <cell r="T13">
            <v>622964.318389753</v>
          </cell>
          <cell r="U13">
            <v>680900</v>
          </cell>
          <cell r="W13">
            <v>680900</v>
          </cell>
          <cell r="AA13">
            <v>680900</v>
          </cell>
          <cell r="AC13">
            <v>680900</v>
          </cell>
          <cell r="AF13">
            <v>680900</v>
          </cell>
          <cell r="AH13">
            <v>0</v>
          </cell>
          <cell r="AI13">
            <v>680900</v>
          </cell>
          <cell r="AN13">
            <v>680900</v>
          </cell>
          <cell r="AO13">
            <v>680900</v>
          </cell>
          <cell r="AP13">
            <v>680900</v>
          </cell>
          <cell r="AQ13">
            <v>68090</v>
          </cell>
          <cell r="AR13">
            <v>10000</v>
          </cell>
          <cell r="AS13">
            <v>58090</v>
          </cell>
          <cell r="AT13">
            <v>612810</v>
          </cell>
          <cell r="AU13">
            <v>4184.6017937108436</v>
          </cell>
          <cell r="AV13">
            <v>327.05626715462029</v>
          </cell>
          <cell r="AW13">
            <v>198.59583333333333</v>
          </cell>
          <cell r="AX13">
            <v>4710.2538941987978</v>
          </cell>
          <cell r="AY13" t="e">
            <v>#REF!</v>
          </cell>
          <cell r="BF13" t="str">
            <v>PCV</v>
          </cell>
          <cell r="BG13" t="str">
            <v>Pablo Alonzo</v>
          </cell>
          <cell r="BH13" t="str">
            <v>Alexander Franco</v>
          </cell>
          <cell r="BL13">
            <v>1</v>
          </cell>
          <cell r="BM13">
            <v>1</v>
          </cell>
          <cell r="BN13">
            <v>1</v>
          </cell>
          <cell r="BO13">
            <v>680900</v>
          </cell>
          <cell r="BP13">
            <v>0</v>
          </cell>
        </row>
        <row r="14">
          <cell r="B14">
            <v>111</v>
          </cell>
          <cell r="C14" t="str">
            <v>A6.1</v>
          </cell>
          <cell r="D14">
            <v>34.22</v>
          </cell>
          <cell r="E14">
            <v>1</v>
          </cell>
          <cell r="G14">
            <v>9.32</v>
          </cell>
          <cell r="H14">
            <v>1</v>
          </cell>
          <cell r="L14" t="str">
            <v>IGUAL</v>
          </cell>
          <cell r="M14" t="str">
            <v>S-5_111</v>
          </cell>
          <cell r="N14" t="str">
            <v>S5_111</v>
          </cell>
          <cell r="O14" t="str">
            <v>S5_232</v>
          </cell>
          <cell r="P14" t="str">
            <v>MISMO SÓTANO</v>
          </cell>
          <cell r="Q14">
            <v>13368.75</v>
          </cell>
          <cell r="R14">
            <v>637395.04099999997</v>
          </cell>
          <cell r="S14">
            <v>696672.779813</v>
          </cell>
          <cell r="T14">
            <v>637419.94510521507</v>
          </cell>
          <cell r="U14">
            <v>696700</v>
          </cell>
          <cell r="W14">
            <v>696700</v>
          </cell>
          <cell r="AA14">
            <v>696700</v>
          </cell>
          <cell r="AC14">
            <v>696700</v>
          </cell>
          <cell r="AF14">
            <v>696700</v>
          </cell>
          <cell r="AH14">
            <v>0</v>
          </cell>
          <cell r="AI14">
            <v>696700</v>
          </cell>
          <cell r="AN14">
            <v>696700</v>
          </cell>
          <cell r="AO14">
            <v>696700</v>
          </cell>
          <cell r="AP14">
            <v>696700</v>
          </cell>
          <cell r="AQ14">
            <v>69670</v>
          </cell>
          <cell r="AR14">
            <v>10000</v>
          </cell>
          <cell r="AS14">
            <v>59670</v>
          </cell>
          <cell r="AT14">
            <v>627030</v>
          </cell>
          <cell r="AU14">
            <v>4281.7037298844843</v>
          </cell>
          <cell r="AV14">
            <v>334.64547118023785</v>
          </cell>
          <cell r="AW14">
            <v>203.20416666666668</v>
          </cell>
          <cell r="AX14">
            <v>4819.5533677313888</v>
          </cell>
          <cell r="AY14" t="e">
            <v>#REF!</v>
          </cell>
          <cell r="BF14" t="str">
            <v>PCV</v>
          </cell>
          <cell r="BG14" t="str">
            <v>Liseth Barillas</v>
          </cell>
          <cell r="BH14" t="str">
            <v>Alexander Franco</v>
          </cell>
          <cell r="BL14">
            <v>1</v>
          </cell>
          <cell r="BM14">
            <v>1</v>
          </cell>
          <cell r="BN14">
            <v>1</v>
          </cell>
          <cell r="BO14">
            <v>696700</v>
          </cell>
          <cell r="BP14">
            <v>0</v>
          </cell>
        </row>
        <row r="15">
          <cell r="B15">
            <v>112</v>
          </cell>
          <cell r="C15" t="str">
            <v>A3.1</v>
          </cell>
          <cell r="D15">
            <v>34.46</v>
          </cell>
          <cell r="E15">
            <v>1</v>
          </cell>
          <cell r="G15">
            <v>9.1300000000000008</v>
          </cell>
          <cell r="H15">
            <v>1</v>
          </cell>
          <cell r="L15" t="str">
            <v>IGUAL</v>
          </cell>
          <cell r="M15" t="str">
            <v>S-5_112</v>
          </cell>
          <cell r="N15" t="str">
            <v>S5_112</v>
          </cell>
          <cell r="O15" t="str">
            <v>S5_233</v>
          </cell>
          <cell r="P15" t="str">
            <v>MISMO SÓTANO</v>
          </cell>
          <cell r="Q15">
            <v>13368.75</v>
          </cell>
          <cell r="R15">
            <v>639382.06900000002</v>
          </cell>
          <cell r="S15">
            <v>698844.60141700006</v>
          </cell>
          <cell r="T15">
            <v>639432.7538883806</v>
          </cell>
          <cell r="U15">
            <v>698900</v>
          </cell>
          <cell r="V15">
            <v>38500</v>
          </cell>
          <cell r="W15">
            <v>737400</v>
          </cell>
          <cell r="AA15">
            <v>737400</v>
          </cell>
          <cell r="AC15">
            <v>737400</v>
          </cell>
          <cell r="AF15">
            <v>737400</v>
          </cell>
          <cell r="AH15">
            <v>-38500</v>
          </cell>
          <cell r="AI15">
            <v>698900</v>
          </cell>
          <cell r="AN15">
            <v>698900</v>
          </cell>
          <cell r="AO15">
            <v>698900</v>
          </cell>
          <cell r="AP15">
            <v>698900</v>
          </cell>
          <cell r="AQ15">
            <v>69890</v>
          </cell>
          <cell r="AR15">
            <v>10000</v>
          </cell>
          <cell r="AS15">
            <v>59890</v>
          </cell>
          <cell r="AT15">
            <v>629010</v>
          </cell>
          <cell r="AU15">
            <v>4295.224252642839</v>
          </cell>
          <cell r="AV15">
            <v>335.70219579139979</v>
          </cell>
          <cell r="AW15">
            <v>203.84583333333333</v>
          </cell>
          <cell r="AX15">
            <v>4834.7722817675722</v>
          </cell>
          <cell r="AY15" t="e">
            <v>#REF!</v>
          </cell>
          <cell r="BF15" t="str">
            <v>PCV</v>
          </cell>
          <cell r="BG15" t="str">
            <v>Herbeth Ramos</v>
          </cell>
          <cell r="BH15" t="str">
            <v>Brenda Búcaro</v>
          </cell>
          <cell r="BL15">
            <v>1</v>
          </cell>
          <cell r="BM15">
            <v>1</v>
          </cell>
          <cell r="BN15">
            <v>1</v>
          </cell>
          <cell r="BO15">
            <v>737400</v>
          </cell>
          <cell r="BP15">
            <v>0</v>
          </cell>
        </row>
        <row r="16">
          <cell r="B16">
            <v>113</v>
          </cell>
          <cell r="C16" t="str">
            <v>C3.1</v>
          </cell>
          <cell r="D16">
            <v>53.160000000000004</v>
          </cell>
          <cell r="E16">
            <v>2</v>
          </cell>
          <cell r="F16">
            <v>1</v>
          </cell>
          <cell r="G16">
            <v>12.71</v>
          </cell>
          <cell r="H16">
            <v>1</v>
          </cell>
          <cell r="J16">
            <v>1</v>
          </cell>
          <cell r="K16">
            <v>1</v>
          </cell>
          <cell r="L16" t="str">
            <v>IGUAL</v>
          </cell>
          <cell r="M16" t="str">
            <v>S-1_05</v>
          </cell>
          <cell r="N16" t="str">
            <v>S1_05</v>
          </cell>
          <cell r="O16" t="str">
            <v>S1_01</v>
          </cell>
          <cell r="P16" t="str">
            <v>MISMO SÓTANO</v>
          </cell>
          <cell r="Q16">
            <v>13175</v>
          </cell>
          <cell r="R16">
            <v>968237.04799999995</v>
          </cell>
          <cell r="S16">
            <v>1058283.0934639999</v>
          </cell>
          <cell r="T16">
            <v>968252.51601097896</v>
          </cell>
          <cell r="U16">
            <v>1058300</v>
          </cell>
          <cell r="V16">
            <v>53000</v>
          </cell>
          <cell r="W16">
            <v>1111300</v>
          </cell>
          <cell r="AA16">
            <v>1111300</v>
          </cell>
          <cell r="AC16">
            <v>1111300</v>
          </cell>
          <cell r="AF16">
            <v>1111300</v>
          </cell>
          <cell r="AG16">
            <v>166695</v>
          </cell>
          <cell r="AH16">
            <v>21304.034648539964</v>
          </cell>
          <cell r="AI16">
            <v>1299299.03464854</v>
          </cell>
          <cell r="AN16">
            <v>1299299.03464854</v>
          </cell>
          <cell r="AO16">
            <v>1299300</v>
          </cell>
          <cell r="AP16">
            <v>1286306.04</v>
          </cell>
          <cell r="AQ16">
            <v>129929.903464854</v>
          </cell>
          <cell r="AR16">
            <v>10000</v>
          </cell>
          <cell r="AS16">
            <v>119929.903464854</v>
          </cell>
          <cell r="AT16">
            <v>1169369.131183686</v>
          </cell>
          <cell r="AU16">
            <v>7985.0918944882487</v>
          </cell>
          <cell r="AV16">
            <v>624.09148507820987</v>
          </cell>
          <cell r="AW16">
            <v>378.96221843915754</v>
          </cell>
          <cell r="AX16">
            <v>8988.1455980056162</v>
          </cell>
          <cell r="AY16" t="e">
            <v>#REF!</v>
          </cell>
          <cell r="BF16" t="str">
            <v>PCV</v>
          </cell>
          <cell r="BG16" t="str">
            <v>Rodrigo Rodas Pazos</v>
          </cell>
          <cell r="BH16" t="str">
            <v>Antonio Rada</v>
          </cell>
          <cell r="BI16">
            <v>45616</v>
          </cell>
          <cell r="BL16" t="str">
            <v>Pagina Web</v>
          </cell>
          <cell r="BN16">
            <v>1</v>
          </cell>
          <cell r="BO16">
            <v>1111300</v>
          </cell>
          <cell r="BP16">
            <v>0</v>
          </cell>
        </row>
        <row r="17">
          <cell r="B17">
            <v>114</v>
          </cell>
          <cell r="C17" t="str">
            <v>C2.1</v>
          </cell>
          <cell r="D17">
            <v>53.260000000000005</v>
          </cell>
          <cell r="E17">
            <v>2</v>
          </cell>
          <cell r="G17">
            <v>14.89</v>
          </cell>
          <cell r="H17">
            <v>1</v>
          </cell>
          <cell r="L17" t="str">
            <v>IGUAL</v>
          </cell>
          <cell r="M17" t="str">
            <v>S-4_270</v>
          </cell>
          <cell r="N17" t="str">
            <v>S4_270</v>
          </cell>
          <cell r="O17" t="str">
            <v>S4_198</v>
          </cell>
          <cell r="P17" t="str">
            <v>MISMO SÓTANO</v>
          </cell>
          <cell r="Q17">
            <v>13175</v>
          </cell>
          <cell r="R17">
            <v>917425.33200000017</v>
          </cell>
          <cell r="S17">
            <v>1002745.8878760001</v>
          </cell>
          <cell r="T17">
            <v>917474.83989021042</v>
          </cell>
          <cell r="U17">
            <v>1002800</v>
          </cell>
          <cell r="W17">
            <v>1002800</v>
          </cell>
          <cell r="AA17">
            <v>1002800</v>
          </cell>
          <cell r="AC17">
            <v>1002800</v>
          </cell>
          <cell r="AF17">
            <v>1002800</v>
          </cell>
          <cell r="AH17">
            <v>-9174.253320000018</v>
          </cell>
          <cell r="AI17">
            <v>993625.74667999998</v>
          </cell>
          <cell r="AN17">
            <v>993625.74667999998</v>
          </cell>
          <cell r="AO17">
            <v>993700</v>
          </cell>
          <cell r="AP17">
            <v>993625.75</v>
          </cell>
          <cell r="AQ17">
            <v>99362.574668000001</v>
          </cell>
          <cell r="AR17">
            <v>10000</v>
          </cell>
          <cell r="AS17">
            <v>89362.574668000001</v>
          </cell>
          <cell r="AT17">
            <v>894263.172012</v>
          </cell>
          <cell r="AU17">
            <v>6106.5179642156036</v>
          </cell>
          <cell r="AV17">
            <v>477.26762763677942</v>
          </cell>
          <cell r="AW17">
            <v>289.80750944833335</v>
          </cell>
          <cell r="AX17">
            <v>6873.5931013007157</v>
          </cell>
          <cell r="AY17" t="e">
            <v>#REF!</v>
          </cell>
          <cell r="BF17" t="str">
            <v>PCV</v>
          </cell>
          <cell r="BG17" t="str">
            <v>Mauricio Arimany</v>
          </cell>
          <cell r="BH17" t="str">
            <v>Antonio Rada</v>
          </cell>
          <cell r="BJ17">
            <v>1</v>
          </cell>
          <cell r="BM17">
            <v>1</v>
          </cell>
          <cell r="BN17">
            <v>1</v>
          </cell>
          <cell r="BO17">
            <v>993700</v>
          </cell>
          <cell r="BP17">
            <v>-9100</v>
          </cell>
        </row>
        <row r="18">
          <cell r="B18">
            <v>201</v>
          </cell>
          <cell r="C18" t="str">
            <v>B7</v>
          </cell>
          <cell r="D18">
            <v>53.1</v>
          </cell>
          <cell r="E18">
            <v>2</v>
          </cell>
          <cell r="F18">
            <v>1</v>
          </cell>
          <cell r="G18">
            <v>1.46</v>
          </cell>
          <cell r="I18">
            <v>1</v>
          </cell>
          <cell r="J18">
            <v>110</v>
          </cell>
          <cell r="K18">
            <v>117</v>
          </cell>
          <cell r="L18" t="str">
            <v>DIFERENTE</v>
          </cell>
          <cell r="M18" t="str">
            <v>S-5_378-379</v>
          </cell>
          <cell r="N18" t="str">
            <v>S5_378-379</v>
          </cell>
          <cell r="O18" t="str">
            <v>S5_288</v>
          </cell>
          <cell r="P18" t="str">
            <v>MISMO SÓTANO</v>
          </cell>
          <cell r="Q18">
            <v>13175</v>
          </cell>
          <cell r="R18">
            <v>991122.54799999995</v>
          </cell>
          <cell r="S18">
            <v>1083296.944964</v>
          </cell>
          <cell r="T18">
            <v>991125.34309240628</v>
          </cell>
          <cell r="U18">
            <v>1083300</v>
          </cell>
          <cell r="V18">
            <v>54200</v>
          </cell>
          <cell r="W18">
            <v>1137500</v>
          </cell>
          <cell r="AA18">
            <v>1137500</v>
          </cell>
          <cell r="AC18">
            <v>1137500</v>
          </cell>
          <cell r="AF18">
            <v>1137500</v>
          </cell>
          <cell r="AG18">
            <v>170625</v>
          </cell>
          <cell r="AH18">
            <v>21806.298400720116</v>
          </cell>
          <cell r="AI18">
            <v>1329931.2984007201</v>
          </cell>
          <cell r="AJ18">
            <v>49897.938952021599</v>
          </cell>
          <cell r="AK18">
            <v>10000</v>
          </cell>
          <cell r="AM18">
            <v>84900</v>
          </cell>
          <cell r="AN18">
            <v>1304929.2373527416</v>
          </cell>
          <cell r="AO18">
            <v>1305000</v>
          </cell>
          <cell r="AQ18">
            <v>132993.12984007201</v>
          </cell>
          <cell r="AR18">
            <v>10000</v>
          </cell>
          <cell r="AS18">
            <v>122993.12984007201</v>
          </cell>
          <cell r="AT18">
            <v>1196938.1685606481</v>
          </cell>
          <cell r="AU18">
            <v>8173.3483577615589</v>
          </cell>
          <cell r="AV18">
            <v>638.80506098845194</v>
          </cell>
          <cell r="AW18">
            <v>387.89662870020999</v>
          </cell>
          <cell r="AX18">
            <v>9200.0500474502205</v>
          </cell>
          <cell r="AY18" t="e">
            <v>#REF!</v>
          </cell>
          <cell r="BF18" t="str">
            <v>Disponible</v>
          </cell>
          <cell r="BO18">
            <v>1137500</v>
          </cell>
          <cell r="BP18">
            <v>0</v>
          </cell>
        </row>
        <row r="19">
          <cell r="B19">
            <v>202</v>
          </cell>
          <cell r="C19" t="str">
            <v>B2</v>
          </cell>
          <cell r="D19">
            <v>52.63</v>
          </cell>
          <cell r="E19">
            <v>2</v>
          </cell>
          <cell r="F19">
            <v>1</v>
          </cell>
          <cell r="G19">
            <v>1.45</v>
          </cell>
          <cell r="I19">
            <v>1</v>
          </cell>
          <cell r="J19">
            <v>111</v>
          </cell>
          <cell r="K19">
            <v>112</v>
          </cell>
          <cell r="L19" t="str">
            <v>DIFERENTE</v>
          </cell>
          <cell r="M19" t="str">
            <v>S-5_380-381</v>
          </cell>
          <cell r="N19" t="str">
            <v>S5_380-381</v>
          </cell>
          <cell r="O19" t="str">
            <v>S5_275</v>
          </cell>
          <cell r="P19" t="str">
            <v>MISMO SÓTANO</v>
          </cell>
          <cell r="Q19">
            <v>13175</v>
          </cell>
          <cell r="R19">
            <v>984866.01</v>
          </cell>
          <cell r="S19">
            <v>1076458.54893</v>
          </cell>
          <cell r="T19">
            <v>984903.93412625801</v>
          </cell>
          <cell r="U19">
            <v>1076500</v>
          </cell>
          <cell r="V19">
            <v>53900</v>
          </cell>
          <cell r="W19">
            <v>1130400</v>
          </cell>
          <cell r="AA19">
            <v>1130400</v>
          </cell>
          <cell r="AC19">
            <v>1130400</v>
          </cell>
          <cell r="AF19">
            <v>1130400</v>
          </cell>
          <cell r="AG19">
            <v>169560</v>
          </cell>
          <cell r="AH19">
            <v>21670.188757949974</v>
          </cell>
          <cell r="AI19">
            <v>1321630.18875795</v>
          </cell>
          <cell r="AN19">
            <v>1321630.18875795</v>
          </cell>
          <cell r="AO19">
            <v>1321700</v>
          </cell>
          <cell r="AP19">
            <v>1321630.19</v>
          </cell>
          <cell r="AQ19">
            <v>132163.01887579501</v>
          </cell>
          <cell r="AR19">
            <v>10000</v>
          </cell>
          <cell r="AS19">
            <v>122163.01887579501</v>
          </cell>
          <cell r="AT19">
            <v>1189467.169882155</v>
          </cell>
          <cell r="AU19">
            <v>8122.3322932867068</v>
          </cell>
          <cell r="AV19">
            <v>634.81779423414798</v>
          </cell>
          <cell r="AW19">
            <v>385.47547172106874</v>
          </cell>
          <cell r="AX19">
            <v>9142.6255592419238</v>
          </cell>
          <cell r="AY19" t="e">
            <v>#REF!</v>
          </cell>
          <cell r="BF19" t="str">
            <v>PCV</v>
          </cell>
          <cell r="BG19" t="str">
            <v>Bella Rosana Chavaque Gonzalez</v>
          </cell>
          <cell r="BH19" t="str">
            <v>Antonio Rada</v>
          </cell>
          <cell r="BI19">
            <v>45736</v>
          </cell>
          <cell r="BL19" t="str">
            <v>Valla</v>
          </cell>
          <cell r="BN19">
            <v>1</v>
          </cell>
          <cell r="BO19">
            <v>1130400</v>
          </cell>
          <cell r="BP19">
            <v>0</v>
          </cell>
        </row>
        <row r="20">
          <cell r="B20">
            <v>203</v>
          </cell>
          <cell r="C20" t="str">
            <v>B6</v>
          </cell>
          <cell r="D20">
            <v>50.03</v>
          </cell>
          <cell r="E20">
            <v>2</v>
          </cell>
          <cell r="F20">
            <v>1</v>
          </cell>
          <cell r="G20">
            <v>1.26</v>
          </cell>
          <cell r="I20">
            <v>1</v>
          </cell>
          <cell r="J20">
            <v>122</v>
          </cell>
          <cell r="K20">
            <v>123</v>
          </cell>
          <cell r="L20" t="str">
            <v>DIFERENTE</v>
          </cell>
          <cell r="M20" t="str">
            <v>S-5_398-399</v>
          </cell>
          <cell r="N20" t="str">
            <v>S5_398-399</v>
          </cell>
          <cell r="O20" t="str">
            <v>S5_284</v>
          </cell>
          <cell r="P20" t="str">
            <v>MISMO SÓTANO</v>
          </cell>
          <cell r="Q20">
            <v>13175</v>
          </cell>
          <cell r="R20">
            <v>949389.53799999994</v>
          </cell>
          <cell r="S20">
            <v>1037682.7650339999</v>
          </cell>
          <cell r="T20">
            <v>949405.30649588292</v>
          </cell>
          <cell r="U20">
            <v>1037700</v>
          </cell>
          <cell r="V20">
            <v>51900</v>
          </cell>
          <cell r="W20">
            <v>1089600</v>
          </cell>
          <cell r="AA20">
            <v>1089600</v>
          </cell>
          <cell r="AC20">
            <v>1089600</v>
          </cell>
          <cell r="AF20">
            <v>1089600</v>
          </cell>
          <cell r="AG20">
            <v>163440</v>
          </cell>
          <cell r="AH20">
            <v>20888.037571359891</v>
          </cell>
          <cell r="AI20">
            <v>1273928.0375713599</v>
          </cell>
          <cell r="AJ20">
            <v>60957.121502854396</v>
          </cell>
          <cell r="AK20">
            <v>10000</v>
          </cell>
          <cell r="AM20">
            <v>84900</v>
          </cell>
          <cell r="AN20">
            <v>1259985.1590742143</v>
          </cell>
          <cell r="AO20">
            <v>1260000</v>
          </cell>
          <cell r="AQ20">
            <v>127392.80375713599</v>
          </cell>
          <cell r="AR20">
            <v>10000</v>
          </cell>
          <cell r="AS20">
            <v>117392.80375713599</v>
          </cell>
          <cell r="AT20">
            <v>1146535.2338142239</v>
          </cell>
          <cell r="AU20">
            <v>7829.1695565863547</v>
          </cell>
          <cell r="AV20">
            <v>611.90505006858541</v>
          </cell>
          <cell r="AW20">
            <v>371.56234429164664</v>
          </cell>
          <cell r="AX20">
            <v>8812.6369509465858</v>
          </cell>
          <cell r="AY20" t="e">
            <v>#REF!</v>
          </cell>
          <cell r="BF20" t="str">
            <v>Disponible</v>
          </cell>
          <cell r="BO20">
            <v>1089600</v>
          </cell>
          <cell r="BP20">
            <v>0</v>
          </cell>
        </row>
        <row r="21">
          <cell r="B21">
            <v>204</v>
          </cell>
          <cell r="C21" t="str">
            <v>B1</v>
          </cell>
          <cell r="D21">
            <v>48.69</v>
          </cell>
          <cell r="E21">
            <v>2</v>
          </cell>
          <cell r="G21">
            <v>1.26</v>
          </cell>
          <cell r="H21">
            <v>1</v>
          </cell>
          <cell r="L21" t="str">
            <v>IGUAL</v>
          </cell>
          <cell r="M21" t="str">
            <v>S-4_257</v>
          </cell>
          <cell r="N21" t="str">
            <v>S4_257</v>
          </cell>
          <cell r="O21" t="str">
            <v>S4_185</v>
          </cell>
          <cell r="P21" t="str">
            <v>MISMO SÓTANO</v>
          </cell>
          <cell r="Q21">
            <v>13175</v>
          </cell>
          <cell r="R21">
            <v>769591.03799999994</v>
          </cell>
          <cell r="S21">
            <v>841163.00453399995</v>
          </cell>
          <cell r="T21">
            <v>769624.88563586457</v>
          </cell>
          <cell r="U21">
            <v>841200</v>
          </cell>
          <cell r="V21">
            <v>42100</v>
          </cell>
          <cell r="W21">
            <v>883300</v>
          </cell>
          <cell r="AA21">
            <v>883300</v>
          </cell>
          <cell r="AC21">
            <v>883300</v>
          </cell>
          <cell r="AF21">
            <v>883300</v>
          </cell>
          <cell r="AG21">
            <v>132495</v>
          </cell>
          <cell r="AH21">
            <v>16933.189782290021</v>
          </cell>
          <cell r="AI21">
            <v>1032728.18978229</v>
          </cell>
          <cell r="AN21">
            <v>1032728.18978229</v>
          </cell>
          <cell r="AO21">
            <v>1032800</v>
          </cell>
          <cell r="AP21">
            <v>1015795</v>
          </cell>
          <cell r="AQ21">
            <v>103272.81897822901</v>
          </cell>
          <cell r="AR21">
            <v>10000</v>
          </cell>
          <cell r="AS21">
            <v>93272.818978229014</v>
          </cell>
          <cell r="AT21">
            <v>929455.37080406095</v>
          </cell>
          <cell r="AU21">
            <v>6346.8295423391446</v>
          </cell>
          <cell r="AV21">
            <v>496.04967944712007</v>
          </cell>
          <cell r="AW21">
            <v>301.21238868650124</v>
          </cell>
          <cell r="AX21">
            <v>7144.0916104727658</v>
          </cell>
          <cell r="AY21" t="e">
            <v>#REF!</v>
          </cell>
          <cell r="BB21" t="str">
            <v>Inara</v>
          </cell>
          <cell r="BC21" t="str">
            <v>M2</v>
          </cell>
          <cell r="BD21" t="str">
            <v>Precio</v>
          </cell>
          <cell r="BE21" t="str">
            <v>Comp</v>
          </cell>
          <cell r="BF21" t="str">
            <v>PCV</v>
          </cell>
          <cell r="BG21" t="str">
            <v>Leslie Paulette Wauthion Jimenez</v>
          </cell>
          <cell r="BH21" t="str">
            <v>Antonio Rada</v>
          </cell>
          <cell r="BI21">
            <v>45596</v>
          </cell>
          <cell r="BK21" t="str">
            <v>Por cliente Julio Farnes</v>
          </cell>
          <cell r="BN21">
            <v>1</v>
          </cell>
          <cell r="BO21">
            <v>883300</v>
          </cell>
          <cell r="BP21">
            <v>0</v>
          </cell>
        </row>
        <row r="22">
          <cell r="B22">
            <v>205</v>
          </cell>
          <cell r="C22" t="str">
            <v>D7</v>
          </cell>
          <cell r="D22">
            <v>66.72</v>
          </cell>
          <cell r="E22">
            <v>3</v>
          </cell>
          <cell r="F22">
            <v>1</v>
          </cell>
          <cell r="G22">
            <v>1.61</v>
          </cell>
          <cell r="I22">
            <v>1</v>
          </cell>
          <cell r="J22">
            <v>80</v>
          </cell>
          <cell r="K22">
            <v>82</v>
          </cell>
          <cell r="L22" t="str">
            <v>DIFERENTE</v>
          </cell>
          <cell r="M22" t="str">
            <v>S-4_284-285</v>
          </cell>
          <cell r="N22" t="str">
            <v>S4_284-285</v>
          </cell>
          <cell r="O22" t="str">
            <v>S4_206</v>
          </cell>
          <cell r="P22" t="str">
            <v>MISMO SÓTANO</v>
          </cell>
          <cell r="Q22">
            <v>12710</v>
          </cell>
          <cell r="R22">
            <v>1140505.568</v>
          </cell>
          <cell r="S22">
            <v>1246572.585824</v>
          </cell>
          <cell r="T22">
            <v>1140530.6495882892</v>
          </cell>
          <cell r="U22">
            <v>1246600</v>
          </cell>
          <cell r="V22">
            <v>31200</v>
          </cell>
          <cell r="W22">
            <v>1277800</v>
          </cell>
          <cell r="AA22">
            <v>1277800</v>
          </cell>
          <cell r="AC22">
            <v>1277800</v>
          </cell>
          <cell r="AF22">
            <v>1277800</v>
          </cell>
          <cell r="AG22">
            <v>63890</v>
          </cell>
          <cell r="AH22">
            <v>22365.823221219936</v>
          </cell>
          <cell r="AI22">
            <v>1364055.8232212199</v>
          </cell>
          <cell r="AN22">
            <v>1364055.8232212199</v>
          </cell>
          <cell r="AO22">
            <v>1364100</v>
          </cell>
          <cell r="AP22">
            <v>1364055.82</v>
          </cell>
          <cell r="AQ22">
            <v>136405.58232212201</v>
          </cell>
          <cell r="AR22">
            <v>10000</v>
          </cell>
          <cell r="AS22">
            <v>126405.58232212201</v>
          </cell>
          <cell r="AT22">
            <v>1227650.2408990979</v>
          </cell>
          <cell r="AU22">
            <v>8383.0671825132013</v>
          </cell>
          <cell r="AV22">
            <v>655.19607245301052</v>
          </cell>
          <cell r="AW22">
            <v>397.84961510618911</v>
          </cell>
          <cell r="AX22">
            <v>9436.1128700724021</v>
          </cell>
          <cell r="AY22" t="e">
            <v>#REF!</v>
          </cell>
          <cell r="BF22" t="str">
            <v>PCV</v>
          </cell>
          <cell r="BG22" t="str">
            <v>Javier Adolfo Hernández León</v>
          </cell>
          <cell r="BH22" t="str">
            <v>Sofia Paredes</v>
          </cell>
          <cell r="BI22">
            <v>45705</v>
          </cell>
          <cell r="BL22" t="str">
            <v>Pagina Web</v>
          </cell>
          <cell r="BN22">
            <v>1</v>
          </cell>
          <cell r="BO22">
            <v>1277800</v>
          </cell>
          <cell r="BP22">
            <v>0</v>
          </cell>
        </row>
        <row r="23">
          <cell r="B23">
            <v>206</v>
          </cell>
          <cell r="C23" t="str">
            <v>A9</v>
          </cell>
          <cell r="D23">
            <v>48.09</v>
          </cell>
          <cell r="E23">
            <v>1</v>
          </cell>
          <cell r="G23">
            <v>1.49</v>
          </cell>
          <cell r="H23">
            <v>1</v>
          </cell>
          <cell r="L23" t="str">
            <v>IGUAL</v>
          </cell>
          <cell r="M23" t="str">
            <v>S-4_258</v>
          </cell>
          <cell r="N23" t="str">
            <v>S4_258</v>
          </cell>
          <cell r="O23" t="str">
            <v>S5_254</v>
          </cell>
          <cell r="P23" t="str">
            <v>DIFERENTE SÓTANO</v>
          </cell>
          <cell r="Q23">
            <v>13368.75</v>
          </cell>
          <cell r="R23">
            <v>772482.09950000001</v>
          </cell>
          <cell r="S23">
            <v>844322.93475350004</v>
          </cell>
          <cell r="T23">
            <v>772552.60750228725</v>
          </cell>
          <cell r="U23">
            <v>844400</v>
          </cell>
          <cell r="V23">
            <v>46500</v>
          </cell>
          <cell r="W23">
            <v>890900</v>
          </cell>
          <cell r="X23">
            <v>22272.5</v>
          </cell>
          <cell r="AA23">
            <v>913172.5</v>
          </cell>
          <cell r="AB23">
            <v>91317.25</v>
          </cell>
          <cell r="AC23">
            <v>1004489.75</v>
          </cell>
          <cell r="AF23">
            <v>1004489.75</v>
          </cell>
          <cell r="AH23">
            <v>16744.732520950027</v>
          </cell>
          <cell r="AI23">
            <v>1021234.48252095</v>
          </cell>
          <cell r="AJ23">
            <v>173397.51720335201</v>
          </cell>
          <cell r="AK23">
            <v>10000</v>
          </cell>
          <cell r="AM23">
            <v>185500</v>
          </cell>
          <cell r="AN23">
            <v>1019131.999724302</v>
          </cell>
          <cell r="AO23">
            <v>1019200</v>
          </cell>
          <cell r="AQ23">
            <v>102123.44825209501</v>
          </cell>
          <cell r="AR23">
            <v>10000</v>
          </cell>
          <cell r="AS23">
            <v>92123.448252095011</v>
          </cell>
          <cell r="AT23">
            <v>919111.034268855</v>
          </cell>
          <cell r="AU23">
            <v>6276.192755700592</v>
          </cell>
          <cell r="AV23">
            <v>490.52891429414336</v>
          </cell>
          <cell r="AW23">
            <v>297.86005740194378</v>
          </cell>
          <cell r="AX23">
            <v>7064.5817273966795</v>
          </cell>
          <cell r="AY23" t="e">
            <v>#REF!</v>
          </cell>
          <cell r="BB23" t="str">
            <v>1 H</v>
          </cell>
          <cell r="BC23">
            <v>35</v>
          </cell>
          <cell r="BD23">
            <v>710000</v>
          </cell>
          <cell r="BE23">
            <v>-43213.396809000056</v>
          </cell>
          <cell r="BF23" t="str">
            <v>Disponible</v>
          </cell>
          <cell r="BO23">
            <v>913200</v>
          </cell>
          <cell r="BP23">
            <v>27.5</v>
          </cell>
        </row>
        <row r="24">
          <cell r="B24">
            <v>207</v>
          </cell>
          <cell r="C24" t="str">
            <v>C9</v>
          </cell>
          <cell r="D24">
            <v>57.85</v>
          </cell>
          <cell r="E24">
            <v>2</v>
          </cell>
          <cell r="F24">
            <v>1</v>
          </cell>
          <cell r="G24">
            <v>1.49</v>
          </cell>
          <cell r="I24">
            <v>1</v>
          </cell>
          <cell r="J24">
            <v>123</v>
          </cell>
          <cell r="K24">
            <v>124</v>
          </cell>
          <cell r="L24" t="str">
            <v>DIFERENTE</v>
          </cell>
          <cell r="M24" t="str">
            <v>S-5_400-401</v>
          </cell>
          <cell r="N24" t="str">
            <v>S5_400-401</v>
          </cell>
          <cell r="O24" t="str">
            <v>S5_285</v>
          </cell>
          <cell r="P24" t="str">
            <v>MISMO SÓTANO</v>
          </cell>
          <cell r="Q24">
            <v>13175</v>
          </cell>
          <cell r="R24">
            <v>1053896.662</v>
          </cell>
          <cell r="S24">
            <v>1151909.0515660001</v>
          </cell>
          <cell r="T24">
            <v>1053979.8719121683</v>
          </cell>
          <cell r="U24">
            <v>1152000</v>
          </cell>
          <cell r="V24">
            <v>57600</v>
          </cell>
          <cell r="W24">
            <v>1209600</v>
          </cell>
          <cell r="AA24">
            <v>1209600</v>
          </cell>
          <cell r="AC24">
            <v>1209600</v>
          </cell>
          <cell r="AF24">
            <v>1209600</v>
          </cell>
          <cell r="AG24">
            <v>181440</v>
          </cell>
          <cell r="AH24">
            <v>23188.482237810036</v>
          </cell>
          <cell r="AI24">
            <v>1414228.48223781</v>
          </cell>
          <cell r="AJ24">
            <v>84853.708934268594</v>
          </cell>
          <cell r="AK24">
            <v>10000</v>
          </cell>
          <cell r="AN24">
            <v>1509082.1911720787</v>
          </cell>
          <cell r="AO24">
            <v>1509100</v>
          </cell>
          <cell r="AP24">
            <v>1356400</v>
          </cell>
          <cell r="AQ24">
            <v>141422.84822378101</v>
          </cell>
          <cell r="AR24">
            <v>10000</v>
          </cell>
          <cell r="AS24">
            <v>131422.84822378101</v>
          </cell>
          <cell r="AT24">
            <v>1272805.6340140291</v>
          </cell>
          <cell r="AU24">
            <v>8691.4128998227425</v>
          </cell>
          <cell r="AV24">
            <v>679.29547408494989</v>
          </cell>
          <cell r="AW24">
            <v>412.4833073193613</v>
          </cell>
          <cell r="AX24">
            <v>9783.1916812270538</v>
          </cell>
          <cell r="AY24" t="e">
            <v>#REF!</v>
          </cell>
          <cell r="BB24" t="str">
            <v>1 H</v>
          </cell>
          <cell r="BC24">
            <v>50</v>
          </cell>
          <cell r="BD24">
            <v>905000</v>
          </cell>
          <cell r="BE24">
            <v>-60677.065246499958</v>
          </cell>
          <cell r="BF24" t="str">
            <v>Reservado</v>
          </cell>
          <cell r="BG24" t="str">
            <v>Fernando Rafael Soto Barrios</v>
          </cell>
          <cell r="BH24" t="str">
            <v>Erwin Cardona</v>
          </cell>
          <cell r="BI24">
            <v>46063</v>
          </cell>
          <cell r="BL24" t="str">
            <v>Lead</v>
          </cell>
          <cell r="BN24">
            <v>1</v>
          </cell>
          <cell r="BO24">
            <v>1209600</v>
          </cell>
          <cell r="BP24">
            <v>0</v>
          </cell>
        </row>
        <row r="25">
          <cell r="B25">
            <v>208</v>
          </cell>
          <cell r="C25" t="str">
            <v>C8</v>
          </cell>
          <cell r="D25">
            <v>57.97</v>
          </cell>
          <cell r="E25">
            <v>2</v>
          </cell>
          <cell r="F25">
            <v>1</v>
          </cell>
          <cell r="G25">
            <v>1.26</v>
          </cell>
          <cell r="I25">
            <v>1</v>
          </cell>
          <cell r="J25">
            <v>124</v>
          </cell>
          <cell r="K25">
            <v>125</v>
          </cell>
          <cell r="L25" t="str">
            <v>DIFERENTE</v>
          </cell>
          <cell r="M25" t="str">
            <v>S-5_402-403</v>
          </cell>
          <cell r="N25" t="str">
            <v>S5_402-403</v>
          </cell>
          <cell r="O25" t="str">
            <v>S5_286</v>
          </cell>
          <cell r="P25" t="str">
            <v>MISMO SÓTANO</v>
          </cell>
          <cell r="Q25">
            <v>13175</v>
          </cell>
          <cell r="R25">
            <v>1053999.0379999999</v>
          </cell>
          <cell r="S25">
            <v>1152020.948534</v>
          </cell>
          <cell r="T25">
            <v>1054071.363220494</v>
          </cell>
          <cell r="U25">
            <v>1152100</v>
          </cell>
          <cell r="V25">
            <v>57700</v>
          </cell>
          <cell r="W25">
            <v>1209800</v>
          </cell>
          <cell r="AA25">
            <v>1209800</v>
          </cell>
          <cell r="AC25">
            <v>1209800</v>
          </cell>
          <cell r="AF25">
            <v>1209800</v>
          </cell>
          <cell r="AG25">
            <v>181470</v>
          </cell>
          <cell r="AH25">
            <v>23192.316312249983</v>
          </cell>
          <cell r="AI25">
            <v>1414462.31631225</v>
          </cell>
          <cell r="AJ25">
            <v>94867.738978734997</v>
          </cell>
          <cell r="AK25">
            <v>10000</v>
          </cell>
          <cell r="AM25">
            <v>153000</v>
          </cell>
          <cell r="AN25">
            <v>1366330.0552909849</v>
          </cell>
          <cell r="AO25">
            <v>1366400</v>
          </cell>
          <cell r="AQ25">
            <v>141446.231631225</v>
          </cell>
          <cell r="AR25">
            <v>10000</v>
          </cell>
          <cell r="AS25">
            <v>131446.231631225</v>
          </cell>
          <cell r="AT25">
            <v>1273016.084681025</v>
          </cell>
          <cell r="AU25">
            <v>8692.8499720614436</v>
          </cell>
          <cell r="AV25">
            <v>679.40779145830857</v>
          </cell>
          <cell r="AW25">
            <v>412.55150892440628</v>
          </cell>
          <cell r="AX25">
            <v>9784.8092724441576</v>
          </cell>
          <cell r="AY25" t="e">
            <v>#REF!</v>
          </cell>
          <cell r="BB25" t="str">
            <v>2 H</v>
          </cell>
          <cell r="BC25">
            <v>63</v>
          </cell>
          <cell r="BD25">
            <v>1338600</v>
          </cell>
          <cell r="BE25">
            <v>-186690.9484339999</v>
          </cell>
          <cell r="BF25" t="str">
            <v>Disponible</v>
          </cell>
          <cell r="BO25">
            <v>1209800</v>
          </cell>
          <cell r="BP25">
            <v>0</v>
          </cell>
        </row>
        <row r="26">
          <cell r="B26">
            <v>209</v>
          </cell>
          <cell r="C26" t="str">
            <v>B4</v>
          </cell>
          <cell r="D26">
            <v>49.77</v>
          </cell>
          <cell r="E26">
            <v>2</v>
          </cell>
          <cell r="F26">
            <v>1</v>
          </cell>
          <cell r="G26">
            <v>1.49</v>
          </cell>
          <cell r="I26">
            <v>1</v>
          </cell>
          <cell r="J26">
            <v>105</v>
          </cell>
          <cell r="K26">
            <v>106</v>
          </cell>
          <cell r="L26" t="str">
            <v>DIFERENTE</v>
          </cell>
          <cell r="M26" t="str">
            <v>S-5_368-369</v>
          </cell>
          <cell r="N26" t="str">
            <v>S5_368-369</v>
          </cell>
          <cell r="O26" t="str">
            <v>S5_269</v>
          </cell>
          <cell r="P26" t="str">
            <v>MISMO SÓTANO</v>
          </cell>
          <cell r="Q26">
            <v>13175</v>
          </cell>
          <cell r="R26">
            <v>947442.66200000001</v>
          </cell>
          <cell r="S26">
            <v>1035554.829566</v>
          </cell>
          <cell r="T26">
            <v>947483.98902104306</v>
          </cell>
          <cell r="U26">
            <v>1035600</v>
          </cell>
          <cell r="V26">
            <v>51800</v>
          </cell>
          <cell r="W26">
            <v>1087400</v>
          </cell>
          <cell r="AA26">
            <v>1087400</v>
          </cell>
          <cell r="AC26">
            <v>1087400</v>
          </cell>
          <cell r="AF26">
            <v>1087400</v>
          </cell>
          <cell r="AG26">
            <v>173984</v>
          </cell>
          <cell r="AH26">
            <v>21027.131124240113</v>
          </cell>
          <cell r="AI26">
            <v>1282411.1311242401</v>
          </cell>
          <cell r="AJ26">
            <v>51296.445244969604</v>
          </cell>
          <cell r="AN26">
            <v>1333707.5763692097</v>
          </cell>
          <cell r="AO26">
            <v>1333800</v>
          </cell>
          <cell r="AP26">
            <v>1315404.18</v>
          </cell>
          <cell r="AQ26">
            <v>128241.11311242402</v>
          </cell>
          <cell r="AR26">
            <v>10000</v>
          </cell>
          <cell r="AS26">
            <v>118241.11311242402</v>
          </cell>
          <cell r="AT26">
            <v>1154170.0180118161</v>
          </cell>
          <cell r="AU26">
            <v>7881.3040381513401</v>
          </cell>
          <cell r="AV26">
            <v>615.97972903954803</v>
          </cell>
          <cell r="AW26">
            <v>374.03657991123669</v>
          </cell>
          <cell r="AX26">
            <v>8871.3203471021243</v>
          </cell>
          <cell r="AY26" t="e">
            <v>#REF!</v>
          </cell>
          <cell r="BB26" t="str">
            <v>2 H</v>
          </cell>
          <cell r="BC26">
            <v>65</v>
          </cell>
          <cell r="BD26">
            <v>1372000</v>
          </cell>
          <cell r="BE26">
            <v>-219979.05146600003</v>
          </cell>
          <cell r="BF26" t="str">
            <v>PCV</v>
          </cell>
          <cell r="BG26" t="str">
            <v>Igor Alejandro Salazar Zamora</v>
          </cell>
          <cell r="BH26" t="str">
            <v>Laura Molina</v>
          </cell>
          <cell r="BI26">
            <v>45838</v>
          </cell>
          <cell r="BL26" t="str">
            <v>Señaletica</v>
          </cell>
          <cell r="BN26">
            <v>1</v>
          </cell>
          <cell r="BO26">
            <v>1087400</v>
          </cell>
          <cell r="BP26">
            <v>0</v>
          </cell>
        </row>
        <row r="27">
          <cell r="B27">
            <v>210</v>
          </cell>
          <cell r="C27" t="str">
            <v>B3</v>
          </cell>
          <cell r="D27">
            <v>48.96</v>
          </cell>
          <cell r="E27">
            <v>2</v>
          </cell>
          <cell r="G27">
            <v>1.26</v>
          </cell>
          <cell r="H27">
            <v>1</v>
          </cell>
          <cell r="L27" t="str">
            <v>IGUAL</v>
          </cell>
          <cell r="M27" t="str">
            <v>S-4_259</v>
          </cell>
          <cell r="N27" t="str">
            <v>S4_259</v>
          </cell>
          <cell r="O27" t="str">
            <v>S4_187</v>
          </cell>
          <cell r="P27" t="str">
            <v>MISMO SÓTANO</v>
          </cell>
          <cell r="Q27">
            <v>13175</v>
          </cell>
          <cell r="R27">
            <v>773148.28799999994</v>
          </cell>
          <cell r="S27">
            <v>845051.0787839999</v>
          </cell>
          <cell r="T27">
            <v>773193.04666056728</v>
          </cell>
          <cell r="U27">
            <v>845100</v>
          </cell>
          <cell r="V27">
            <v>42300</v>
          </cell>
          <cell r="W27">
            <v>887400</v>
          </cell>
          <cell r="AA27">
            <v>887400</v>
          </cell>
          <cell r="AC27">
            <v>887400</v>
          </cell>
          <cell r="AF27">
            <v>887400</v>
          </cell>
          <cell r="AG27">
            <v>133110</v>
          </cell>
          <cell r="AH27">
            <v>17011.788308389951</v>
          </cell>
          <cell r="AI27">
            <v>1037521.78830839</v>
          </cell>
          <cell r="AJ27">
            <v>72626.525181587305</v>
          </cell>
          <cell r="AN27">
            <v>1110148.3134899773</v>
          </cell>
          <cell r="AO27">
            <v>1110200</v>
          </cell>
          <cell r="AP27">
            <v>1110148.31</v>
          </cell>
          <cell r="AQ27">
            <v>103752.178830839</v>
          </cell>
          <cell r="AR27">
            <v>10000</v>
          </cell>
          <cell r="AS27">
            <v>93752.178830838995</v>
          </cell>
          <cell r="AT27">
            <v>933769.60947755096</v>
          </cell>
          <cell r="AU27">
            <v>6376.289523233032</v>
          </cell>
          <cell r="AV27">
            <v>498.35218560101066</v>
          </cell>
          <cell r="AW27">
            <v>302.61052158994704</v>
          </cell>
          <cell r="AX27">
            <v>7177.2522304239892</v>
          </cell>
          <cell r="AY27" t="e">
            <v>#REF!</v>
          </cell>
          <cell r="BF27" t="str">
            <v>PCV</v>
          </cell>
          <cell r="BG27" t="str">
            <v>Carlos Alejandro De León Samayoa</v>
          </cell>
          <cell r="BH27" t="str">
            <v>Laura Molina</v>
          </cell>
          <cell r="BI27">
            <v>45859</v>
          </cell>
          <cell r="BL27" t="str">
            <v>Perfilan</v>
          </cell>
          <cell r="BN27">
            <v>1</v>
          </cell>
          <cell r="BO27">
            <v>887400</v>
          </cell>
          <cell r="BP27">
            <v>0</v>
          </cell>
        </row>
        <row r="28">
          <cell r="B28">
            <v>211</v>
          </cell>
          <cell r="C28" t="str">
            <v>E1</v>
          </cell>
          <cell r="D28">
            <v>74.8</v>
          </cell>
          <cell r="E28">
            <v>3</v>
          </cell>
          <cell r="F28">
            <v>1</v>
          </cell>
          <cell r="G28">
            <v>1.26</v>
          </cell>
          <cell r="I28">
            <v>1</v>
          </cell>
          <cell r="J28">
            <v>34</v>
          </cell>
          <cell r="K28">
            <v>39</v>
          </cell>
          <cell r="L28" t="str">
            <v>DIFERENTE</v>
          </cell>
          <cell r="M28" t="str">
            <v>S-2_113-114</v>
          </cell>
          <cell r="N28" t="str">
            <v>S2_113-114</v>
          </cell>
          <cell r="O28" t="str">
            <v>S2_77</v>
          </cell>
          <cell r="P28" t="str">
            <v>MISMO SÓTANO</v>
          </cell>
          <cell r="Q28">
            <v>12710</v>
          </cell>
          <cell r="R28">
            <v>1240952.2879999999</v>
          </cell>
          <cell r="S28">
            <v>1356360.850784</v>
          </cell>
          <cell r="T28">
            <v>1240988.1061299178</v>
          </cell>
          <cell r="U28">
            <v>1356400</v>
          </cell>
          <cell r="V28">
            <v>34000</v>
          </cell>
          <cell r="W28">
            <v>1390400</v>
          </cell>
          <cell r="AA28">
            <v>1390400</v>
          </cell>
          <cell r="AC28">
            <v>1390400</v>
          </cell>
          <cell r="AD28">
            <v>55616</v>
          </cell>
          <cell r="AF28">
            <v>1446016</v>
          </cell>
          <cell r="AG28">
            <v>72300.800000000003</v>
          </cell>
          <cell r="AH28">
            <v>25310.172351740068</v>
          </cell>
          <cell r="AI28">
            <v>1543626.9723517401</v>
          </cell>
          <cell r="AJ28">
            <v>71745.078894069607</v>
          </cell>
          <cell r="AK28">
            <v>10000</v>
          </cell>
          <cell r="AN28">
            <v>1625372.0512458098</v>
          </cell>
          <cell r="AO28">
            <v>1625400</v>
          </cell>
          <cell r="AQ28">
            <v>154362.69723517401</v>
          </cell>
          <cell r="AR28">
            <v>10000</v>
          </cell>
          <cell r="AS28">
            <v>144362.69723517401</v>
          </cell>
          <cell r="AT28">
            <v>1389264.2751165661</v>
          </cell>
          <cell r="AU28">
            <v>9486.6561864055384</v>
          </cell>
          <cell r="AV28">
            <v>741.44936915339758</v>
          </cell>
          <cell r="AW28">
            <v>450.22453360259084</v>
          </cell>
          <cell r="AX28">
            <v>10678.330089161527</v>
          </cell>
          <cell r="AY28" t="e">
            <v>#REF!</v>
          </cell>
          <cell r="BB28" t="str">
            <v>3 H</v>
          </cell>
          <cell r="BC28">
            <v>71</v>
          </cell>
          <cell r="BD28">
            <v>1750336</v>
          </cell>
          <cell r="BE28">
            <v>-393975.14921599999</v>
          </cell>
          <cell r="BF28" t="str">
            <v>Disponible</v>
          </cell>
          <cell r="BO28">
            <v>1390400</v>
          </cell>
          <cell r="BP28">
            <v>0</v>
          </cell>
        </row>
        <row r="29">
          <cell r="B29">
            <v>212</v>
          </cell>
          <cell r="C29" t="str">
            <v>A4</v>
          </cell>
          <cell r="D29">
            <v>35.549999999999997</v>
          </cell>
          <cell r="E29">
            <v>1</v>
          </cell>
          <cell r="G29">
            <v>1.49</v>
          </cell>
          <cell r="H29">
            <v>1</v>
          </cell>
          <cell r="L29" t="str">
            <v>IGUAL</v>
          </cell>
          <cell r="M29" t="str">
            <v>S-5_333</v>
          </cell>
          <cell r="N29" t="str">
            <v>S5_333</v>
          </cell>
          <cell r="O29" t="str">
            <v>S5_234</v>
          </cell>
          <cell r="P29" t="str">
            <v>MISMO SÓTANO</v>
          </cell>
          <cell r="Q29">
            <v>13368.75</v>
          </cell>
          <cell r="R29">
            <v>604837.97450000001</v>
          </cell>
          <cell r="S29">
            <v>661087.90612850001</v>
          </cell>
          <cell r="T29">
            <v>604849.03934126254</v>
          </cell>
          <cell r="U29">
            <v>661100</v>
          </cell>
          <cell r="V29">
            <v>36400</v>
          </cell>
          <cell r="W29">
            <v>697500</v>
          </cell>
          <cell r="X29">
            <v>17437.5</v>
          </cell>
          <cell r="AA29">
            <v>714937.5</v>
          </cell>
          <cell r="AC29">
            <v>714937.5</v>
          </cell>
          <cell r="AF29">
            <v>714937.5</v>
          </cell>
          <cell r="AH29">
            <v>0</v>
          </cell>
          <cell r="AI29">
            <v>714937.5</v>
          </cell>
          <cell r="AN29">
            <v>714937.5</v>
          </cell>
          <cell r="AO29">
            <v>715000</v>
          </cell>
          <cell r="AP29">
            <v>714937.5</v>
          </cell>
          <cell r="AQ29">
            <v>71493.75</v>
          </cell>
          <cell r="AR29">
            <v>10000</v>
          </cell>
          <cell r="AS29">
            <v>61493.75</v>
          </cell>
          <cell r="AT29">
            <v>643443.75</v>
          </cell>
          <cell r="AU29">
            <v>4393.7857907051648</v>
          </cell>
          <cell r="AV29">
            <v>343.40547804208592</v>
          </cell>
          <cell r="AW29">
            <v>208.5234375</v>
          </cell>
          <cell r="AX29">
            <v>4945.7147062472504</v>
          </cell>
          <cell r="AY29" t="e">
            <v>#REF!</v>
          </cell>
          <cell r="BF29" t="str">
            <v>PCV</v>
          </cell>
          <cell r="BG29" t="str">
            <v>Julio Farnes Bucaro</v>
          </cell>
          <cell r="BH29" t="str">
            <v>Antonio Rada</v>
          </cell>
          <cell r="BL29">
            <v>1</v>
          </cell>
          <cell r="BN29">
            <v>1</v>
          </cell>
          <cell r="BO29">
            <v>715000</v>
          </cell>
          <cell r="BP29">
            <v>62.5</v>
          </cell>
        </row>
        <row r="30">
          <cell r="B30">
            <v>213</v>
          </cell>
          <cell r="C30" t="str">
            <v>A8</v>
          </cell>
          <cell r="D30">
            <v>35.94</v>
          </cell>
          <cell r="E30">
            <v>1</v>
          </cell>
          <cell r="G30">
            <v>1.49</v>
          </cell>
          <cell r="H30">
            <v>1</v>
          </cell>
          <cell r="L30" t="str">
            <v>IGUAL</v>
          </cell>
          <cell r="M30" t="str">
            <v>S-5_334</v>
          </cell>
          <cell r="N30" t="str">
            <v>S5_334</v>
          </cell>
          <cell r="O30" t="str">
            <v>S5_235</v>
          </cell>
          <cell r="P30" t="str">
            <v>MISMO SÓTANO</v>
          </cell>
          <cell r="Q30">
            <v>13368.75</v>
          </cell>
          <cell r="R30">
            <v>610051.78700000001</v>
          </cell>
          <cell r="S30">
            <v>666786.60319099994</v>
          </cell>
          <cell r="T30">
            <v>610064.04391582799</v>
          </cell>
          <cell r="U30">
            <v>666800</v>
          </cell>
          <cell r="V30">
            <v>36700</v>
          </cell>
          <cell r="W30">
            <v>703500</v>
          </cell>
          <cell r="X30">
            <v>17587.5</v>
          </cell>
          <cell r="AA30">
            <v>721087.5</v>
          </cell>
          <cell r="AB30">
            <v>72108.75</v>
          </cell>
          <cell r="AC30">
            <v>793196.25</v>
          </cell>
          <cell r="AF30">
            <v>793196.25</v>
          </cell>
          <cell r="AH30">
            <v>13222.493353334023</v>
          </cell>
          <cell r="AI30">
            <v>806418.74335333402</v>
          </cell>
          <cell r="AN30">
            <v>806418.74335333402</v>
          </cell>
          <cell r="AO30">
            <v>806500</v>
          </cell>
          <cell r="AP30">
            <v>806418.74</v>
          </cell>
          <cell r="AQ30">
            <v>80641.874335333414</v>
          </cell>
          <cell r="AR30">
            <v>10000</v>
          </cell>
          <cell r="AS30">
            <v>70641.874335333414</v>
          </cell>
          <cell r="AT30">
            <v>725776.86901800055</v>
          </cell>
          <cell r="AU30">
            <v>4956.0013510330537</v>
          </cell>
          <cell r="AV30">
            <v>387.3466059107962</v>
          </cell>
          <cell r="AW30">
            <v>235.2054668113891</v>
          </cell>
          <cell r="AX30">
            <v>5578.5534237552383</v>
          </cell>
          <cell r="AY30" t="e">
            <v>#REF!</v>
          </cell>
          <cell r="BF30" t="str">
            <v>PCV</v>
          </cell>
          <cell r="BG30" t="str">
            <v>Carlos Rivera</v>
          </cell>
          <cell r="BH30" t="str">
            <v>Sofia Paredes</v>
          </cell>
          <cell r="BI30">
            <v>45695</v>
          </cell>
          <cell r="BL30" t="str">
            <v>Facebook</v>
          </cell>
          <cell r="BN30">
            <v>1</v>
          </cell>
          <cell r="BO30">
            <v>721100</v>
          </cell>
          <cell r="BP30">
            <v>12.5</v>
          </cell>
        </row>
        <row r="31">
          <cell r="B31">
            <v>214</v>
          </cell>
          <cell r="C31" t="str">
            <v>A1</v>
          </cell>
          <cell r="D31">
            <v>35.85</v>
          </cell>
          <cell r="E31">
            <v>1</v>
          </cell>
          <cell r="G31">
            <v>1.58</v>
          </cell>
          <cell r="H31">
            <v>1</v>
          </cell>
          <cell r="L31" t="str">
            <v>IGUAL</v>
          </cell>
          <cell r="M31" t="str">
            <v>S-5_214</v>
          </cell>
          <cell r="N31" t="str">
            <v>S5_214</v>
          </cell>
          <cell r="O31" t="str">
            <v>S5_236</v>
          </cell>
          <cell r="P31" t="str">
            <v>MISMO SÓTANO</v>
          </cell>
          <cell r="Q31">
            <v>13368.75</v>
          </cell>
          <cell r="R31">
            <v>609427.19149999996</v>
          </cell>
          <cell r="S31">
            <v>666103.92030949995</v>
          </cell>
          <cell r="T31">
            <v>609515.09606587375</v>
          </cell>
          <cell r="U31">
            <v>666200</v>
          </cell>
          <cell r="V31">
            <v>36700</v>
          </cell>
          <cell r="W31">
            <v>702900</v>
          </cell>
          <cell r="X31">
            <v>17572.5</v>
          </cell>
          <cell r="AA31">
            <v>720472.5</v>
          </cell>
          <cell r="AB31">
            <v>72047.25</v>
          </cell>
          <cell r="AC31">
            <v>792519.75</v>
          </cell>
          <cell r="AF31">
            <v>792519.75</v>
          </cell>
          <cell r="AH31">
            <v>-72047.25</v>
          </cell>
          <cell r="AI31">
            <v>720472.5</v>
          </cell>
          <cell r="AN31">
            <v>720472.5</v>
          </cell>
          <cell r="AO31">
            <v>720500</v>
          </cell>
          <cell r="AP31">
            <v>720472.5</v>
          </cell>
          <cell r="AQ31">
            <v>72047.25</v>
          </cell>
          <cell r="AR31">
            <v>10000</v>
          </cell>
          <cell r="AS31">
            <v>62047.25</v>
          </cell>
          <cell r="AT31">
            <v>648425.25</v>
          </cell>
          <cell r="AU31">
            <v>4427.8021968267531</v>
          </cell>
          <cell r="AV31">
            <v>346.06410109789567</v>
          </cell>
          <cell r="AW31">
            <v>210.1378125</v>
          </cell>
          <cell r="AX31">
            <v>4984.0041104246493</v>
          </cell>
          <cell r="AY31" t="e">
            <v>#REF!</v>
          </cell>
          <cell r="BB31" t="str">
            <v>Centrico</v>
          </cell>
          <cell r="BC31" t="str">
            <v>M2</v>
          </cell>
          <cell r="BD31" t="str">
            <v>Precio</v>
          </cell>
          <cell r="BE31" t="str">
            <v>Comp</v>
          </cell>
          <cell r="BF31" t="str">
            <v>PCV</v>
          </cell>
          <cell r="BG31" t="str">
            <v>Jorge Daniel Baca Chiroy</v>
          </cell>
          <cell r="BH31" t="str">
            <v>Antonio Rada</v>
          </cell>
          <cell r="BL31">
            <v>1</v>
          </cell>
          <cell r="BN31">
            <v>1</v>
          </cell>
          <cell r="BO31">
            <v>720500</v>
          </cell>
          <cell r="BP31">
            <v>27.5</v>
          </cell>
        </row>
        <row r="32">
          <cell r="B32">
            <v>215</v>
          </cell>
          <cell r="C32" t="str">
            <v>C4</v>
          </cell>
          <cell r="D32">
            <v>54.09</v>
          </cell>
          <cell r="E32">
            <v>2</v>
          </cell>
          <cell r="G32">
            <v>1.39</v>
          </cell>
          <cell r="H32">
            <v>1</v>
          </cell>
          <cell r="L32" t="str">
            <v>IGUAL</v>
          </cell>
          <cell r="M32" t="str">
            <v>S-4_308</v>
          </cell>
          <cell r="N32" t="str">
            <v>S4_308</v>
          </cell>
          <cell r="O32" t="str">
            <v>S4_218</v>
          </cell>
          <cell r="P32" t="str">
            <v>MISMO SÓTANO</v>
          </cell>
          <cell r="Q32">
            <v>13175</v>
          </cell>
          <cell r="R32">
            <v>841571.78200000001</v>
          </cell>
          <cell r="S32">
            <v>919837.95772599999</v>
          </cell>
          <cell r="T32">
            <v>841628.5452881977</v>
          </cell>
          <cell r="U32">
            <v>919900</v>
          </cell>
          <cell r="V32">
            <v>46000</v>
          </cell>
          <cell r="W32">
            <v>965900</v>
          </cell>
          <cell r="AA32">
            <v>965900</v>
          </cell>
          <cell r="AC32">
            <v>965900</v>
          </cell>
          <cell r="AF32">
            <v>965900</v>
          </cell>
          <cell r="AH32">
            <v>0</v>
          </cell>
          <cell r="AI32">
            <v>965900</v>
          </cell>
          <cell r="AN32">
            <v>965900</v>
          </cell>
          <cell r="AO32">
            <v>965900</v>
          </cell>
          <cell r="AP32">
            <v>965900</v>
          </cell>
          <cell r="AQ32">
            <v>96590</v>
          </cell>
          <cell r="AR32">
            <v>10000</v>
          </cell>
          <cell r="AS32">
            <v>86590</v>
          </cell>
          <cell r="AT32">
            <v>869310</v>
          </cell>
          <cell r="AU32">
            <v>5936.1240601340933</v>
          </cell>
          <cell r="AV32">
            <v>463.95013723696252</v>
          </cell>
          <cell r="AW32">
            <v>281.72083333333336</v>
          </cell>
          <cell r="AX32">
            <v>6681.7950307043893</v>
          </cell>
          <cell r="AY32" t="e">
            <v>#REF!</v>
          </cell>
          <cell r="BB32" t="str">
            <v>1 H</v>
          </cell>
          <cell r="BC32">
            <v>46</v>
          </cell>
          <cell r="BD32">
            <v>624000</v>
          </cell>
          <cell r="BF32" t="str">
            <v>PCV</v>
          </cell>
          <cell r="BG32" t="str">
            <v>Lidia Elizabeth Pocasangre</v>
          </cell>
          <cell r="BH32" t="str">
            <v>Antonio Rada</v>
          </cell>
          <cell r="BL32">
            <v>1</v>
          </cell>
          <cell r="BN32">
            <v>1</v>
          </cell>
          <cell r="BO32">
            <v>965900</v>
          </cell>
          <cell r="BP32">
            <v>0</v>
          </cell>
        </row>
        <row r="33">
          <cell r="B33">
            <v>216</v>
          </cell>
          <cell r="C33" t="str">
            <v>C1</v>
          </cell>
          <cell r="D33">
            <v>55.09</v>
          </cell>
          <cell r="E33">
            <v>2</v>
          </cell>
          <cell r="G33">
            <v>1.35</v>
          </cell>
          <cell r="H33">
            <v>1</v>
          </cell>
          <cell r="L33" t="str">
            <v>IGUAL</v>
          </cell>
          <cell r="M33" t="str">
            <v>S-2_216</v>
          </cell>
          <cell r="N33" t="str">
            <v>S2_216</v>
          </cell>
          <cell r="O33" t="str">
            <v>S2_90</v>
          </cell>
          <cell r="P33" t="str">
            <v>MISMO SÓTANO</v>
          </cell>
          <cell r="Q33">
            <v>13175</v>
          </cell>
          <cell r="R33">
            <v>854489.63</v>
          </cell>
          <cell r="S33">
            <v>933957.16558999999</v>
          </cell>
          <cell r="T33">
            <v>854528.81976212258</v>
          </cell>
          <cell r="U33">
            <v>934000</v>
          </cell>
          <cell r="V33">
            <v>46700</v>
          </cell>
          <cell r="W33">
            <v>980700</v>
          </cell>
          <cell r="AA33">
            <v>980700</v>
          </cell>
          <cell r="AC33">
            <v>980700</v>
          </cell>
          <cell r="AF33">
            <v>980700</v>
          </cell>
          <cell r="AH33">
            <v>0</v>
          </cell>
          <cell r="AI33">
            <v>980700</v>
          </cell>
          <cell r="AN33">
            <v>980700</v>
          </cell>
          <cell r="AO33">
            <v>980700</v>
          </cell>
          <cell r="AP33">
            <v>980700</v>
          </cell>
          <cell r="AQ33">
            <v>98070</v>
          </cell>
          <cell r="AR33">
            <v>10000</v>
          </cell>
          <cell r="AS33">
            <v>88070</v>
          </cell>
          <cell r="AT33">
            <v>882630</v>
          </cell>
          <cell r="AU33">
            <v>6027.0803041448444</v>
          </cell>
          <cell r="AV33">
            <v>471.05901189387009</v>
          </cell>
          <cell r="AW33">
            <v>286.03750000000002</v>
          </cell>
          <cell r="AX33">
            <v>6784.1768160387146</v>
          </cell>
          <cell r="AY33" t="e">
            <v>#REF!</v>
          </cell>
          <cell r="BB33" t="str">
            <v>2 H</v>
          </cell>
          <cell r="BC33">
            <v>67</v>
          </cell>
          <cell r="BF33" t="str">
            <v>PCV</v>
          </cell>
          <cell r="BG33" t="str">
            <v>Gabriell Moreno</v>
          </cell>
          <cell r="BH33" t="str">
            <v>Antonio Rada</v>
          </cell>
          <cell r="BL33">
            <v>1</v>
          </cell>
          <cell r="BN33">
            <v>1</v>
          </cell>
          <cell r="BO33">
            <v>980700</v>
          </cell>
          <cell r="BP33">
            <v>0</v>
          </cell>
        </row>
        <row r="34">
          <cell r="B34">
            <v>301</v>
          </cell>
          <cell r="C34" t="str">
            <v>C3</v>
          </cell>
          <cell r="D34">
            <v>54.27</v>
          </cell>
          <cell r="E34">
            <v>2</v>
          </cell>
          <cell r="F34">
            <v>1</v>
          </cell>
          <cell r="G34">
            <v>35.89</v>
          </cell>
          <cell r="I34">
            <v>1</v>
          </cell>
          <cell r="J34">
            <v>112</v>
          </cell>
          <cell r="K34">
            <v>113</v>
          </cell>
          <cell r="L34" t="str">
            <v>DIFERENTE</v>
          </cell>
          <cell r="M34" t="str">
            <v>S-5_382-383</v>
          </cell>
          <cell r="N34" t="str">
            <v>S5_382-383</v>
          </cell>
          <cell r="O34" t="str">
            <v>S5_276</v>
          </cell>
          <cell r="P34" t="str">
            <v>MISMO SÓTANO</v>
          </cell>
          <cell r="Q34">
            <v>13175</v>
          </cell>
          <cell r="R34">
            <v>1109128.05</v>
          </cell>
          <cell r="S34">
            <v>1212276.9586499999</v>
          </cell>
          <cell r="T34">
            <v>1109149.1308325708</v>
          </cell>
          <cell r="U34">
            <v>1212300</v>
          </cell>
          <cell r="V34">
            <v>60700</v>
          </cell>
          <cell r="W34">
            <v>1273000</v>
          </cell>
          <cell r="AA34">
            <v>1273000</v>
          </cell>
          <cell r="AC34">
            <v>1273000</v>
          </cell>
          <cell r="AF34">
            <v>1273000</v>
          </cell>
          <cell r="AG34">
            <v>0</v>
          </cell>
          <cell r="AH34">
            <v>0</v>
          </cell>
          <cell r="AI34">
            <v>1273000</v>
          </cell>
          <cell r="AN34">
            <v>1273000</v>
          </cell>
          <cell r="AO34">
            <v>1273000</v>
          </cell>
          <cell r="AP34">
            <v>1273000</v>
          </cell>
          <cell r="AQ34">
            <v>127300</v>
          </cell>
          <cell r="AR34">
            <v>10000</v>
          </cell>
          <cell r="AS34">
            <v>117300</v>
          </cell>
          <cell r="AT34">
            <v>1145700</v>
          </cell>
          <cell r="AU34">
            <v>7823.4661233571815</v>
          </cell>
          <cell r="AV34">
            <v>611.45928636779502</v>
          </cell>
          <cell r="AW34">
            <v>371.29166666666669</v>
          </cell>
          <cell r="AX34">
            <v>8806.217076391642</v>
          </cell>
          <cell r="AY34" t="e">
            <v>#REF!</v>
          </cell>
          <cell r="BF34" t="str">
            <v>PCV</v>
          </cell>
          <cell r="BG34" t="str">
            <v>Jonathan Kiril Thomas Menkos Zeissig</v>
          </cell>
          <cell r="BH34" t="str">
            <v>Antonio Rada</v>
          </cell>
          <cell r="BI34">
            <v>45494</v>
          </cell>
          <cell r="BO34">
            <v>1153800</v>
          </cell>
          <cell r="BP34">
            <v>-119200</v>
          </cell>
        </row>
        <row r="35">
          <cell r="B35">
            <v>302</v>
          </cell>
          <cell r="C35" t="str">
            <v>C2</v>
          </cell>
          <cell r="D35">
            <v>54.73</v>
          </cell>
          <cell r="E35">
            <v>2</v>
          </cell>
          <cell r="F35">
            <v>1</v>
          </cell>
          <cell r="G35">
            <v>3.25</v>
          </cell>
          <cell r="I35">
            <v>1</v>
          </cell>
          <cell r="J35">
            <v>125</v>
          </cell>
          <cell r="K35">
            <v>126</v>
          </cell>
          <cell r="L35" t="str">
            <v>DIFERENTE</v>
          </cell>
          <cell r="M35" t="str">
            <v>S-5_408-409</v>
          </cell>
          <cell r="N35" t="str">
            <v>S5_408-409</v>
          </cell>
          <cell r="O35" t="str">
            <v>S5_289</v>
          </cell>
          <cell r="P35" t="str">
            <v>MISMO SÓTANO</v>
          </cell>
          <cell r="Q35">
            <v>13175</v>
          </cell>
          <cell r="R35">
            <v>1023491.75</v>
          </cell>
          <cell r="S35">
            <v>1118676.48275</v>
          </cell>
          <cell r="T35">
            <v>1023513.2662397072</v>
          </cell>
          <cell r="U35">
            <v>1118700</v>
          </cell>
          <cell r="V35">
            <v>56000</v>
          </cell>
          <cell r="W35">
            <v>1174700</v>
          </cell>
          <cell r="AA35">
            <v>1174700</v>
          </cell>
          <cell r="AC35">
            <v>1174700</v>
          </cell>
          <cell r="AF35">
            <v>1174700</v>
          </cell>
          <cell r="AG35">
            <v>176205</v>
          </cell>
          <cell r="AH35">
            <v>22519.436247319914</v>
          </cell>
          <cell r="AI35">
            <v>1373424.4362473199</v>
          </cell>
          <cell r="AJ35">
            <v>82405.466174839195</v>
          </cell>
          <cell r="AN35">
            <v>1455829.9024221592</v>
          </cell>
          <cell r="AO35">
            <v>1455900</v>
          </cell>
          <cell r="AP35">
            <v>1455829.9</v>
          </cell>
          <cell r="AQ35">
            <v>137342.443624732</v>
          </cell>
          <cell r="AR35">
            <v>10000</v>
          </cell>
          <cell r="AS35">
            <v>127342.443624732</v>
          </cell>
          <cell r="AT35">
            <v>1236081.9926225878</v>
          </cell>
          <cell r="AU35">
            <v>8440.6437941648401</v>
          </cell>
          <cell r="AV35">
            <v>659.69609243352511</v>
          </cell>
          <cell r="AW35">
            <v>400.58212723880166</v>
          </cell>
          <cell r="AX35">
            <v>9500.9220138371675</v>
          </cell>
          <cell r="AY35" t="e">
            <v>#REF!</v>
          </cell>
          <cell r="BF35" t="str">
            <v>PCV</v>
          </cell>
          <cell r="BG35" t="str">
            <v xml:space="preserve">Jose Ignacio Ramirez Soto </v>
          </cell>
          <cell r="BH35" t="str">
            <v>Anahi Cisneros</v>
          </cell>
          <cell r="BI35">
            <v>45871</v>
          </cell>
          <cell r="BN35">
            <v>1</v>
          </cell>
          <cell r="BO35">
            <v>1161700</v>
          </cell>
          <cell r="BP35">
            <v>-13000</v>
          </cell>
        </row>
        <row r="36">
          <cell r="B36">
            <v>303</v>
          </cell>
          <cell r="C36" t="str">
            <v>A6</v>
          </cell>
          <cell r="D36">
            <v>35.69</v>
          </cell>
          <cell r="E36">
            <v>1</v>
          </cell>
          <cell r="G36">
            <v>17.64</v>
          </cell>
          <cell r="H36">
            <v>1</v>
          </cell>
          <cell r="L36" t="str">
            <v>IGUAL</v>
          </cell>
          <cell r="M36" t="str">
            <v>S-5_336</v>
          </cell>
          <cell r="N36" t="str">
            <v>S5_336</v>
          </cell>
          <cell r="O36" t="str">
            <v>S5_237</v>
          </cell>
          <cell r="P36" t="str">
            <v>MISMO SÓTANO</v>
          </cell>
          <cell r="Q36">
            <v>13368.75</v>
          </cell>
          <cell r="R36">
            <v>707204.28749999998</v>
          </cell>
          <cell r="S36">
            <v>772974.28623749991</v>
          </cell>
          <cell r="T36">
            <v>707227.81335773098</v>
          </cell>
          <cell r="U36">
            <v>773000</v>
          </cell>
          <cell r="V36">
            <v>42600</v>
          </cell>
          <cell r="W36">
            <v>815600</v>
          </cell>
          <cell r="X36">
            <v>20390</v>
          </cell>
          <cell r="AA36">
            <v>835990</v>
          </cell>
          <cell r="AB36">
            <v>83599</v>
          </cell>
          <cell r="AC36">
            <v>919589</v>
          </cell>
          <cell r="AF36">
            <v>919589</v>
          </cell>
          <cell r="AH36">
            <v>15329.446451997035</v>
          </cell>
          <cell r="AI36">
            <v>934918.44645199704</v>
          </cell>
          <cell r="AJ36">
            <v>186983.68929039943</v>
          </cell>
          <cell r="AK36">
            <v>10000</v>
          </cell>
          <cell r="AL36">
            <v>50000</v>
          </cell>
          <cell r="AM36">
            <v>185500</v>
          </cell>
          <cell r="AN36">
            <v>996402.13574239658</v>
          </cell>
          <cell r="AO36">
            <v>996500</v>
          </cell>
          <cell r="AQ36">
            <v>93491.844645199715</v>
          </cell>
          <cell r="AR36">
            <v>10000</v>
          </cell>
          <cell r="AS36">
            <v>83491.844645199715</v>
          </cell>
          <cell r="AT36">
            <v>841426.60180679732</v>
          </cell>
          <cell r="AU36">
            <v>5745.7209693000186</v>
          </cell>
          <cell r="AV36">
            <v>449.06878717959603</v>
          </cell>
          <cell r="AW36">
            <v>272.68454688183249</v>
          </cell>
          <cell r="AX36">
            <v>6467.4743033614477</v>
          </cell>
          <cell r="AY36" t="e">
            <v>#REF!</v>
          </cell>
          <cell r="BF36" t="str">
            <v>Disponible</v>
          </cell>
          <cell r="BO36">
            <v>717200</v>
          </cell>
          <cell r="BP36">
            <v>-118790</v>
          </cell>
        </row>
        <row r="37">
          <cell r="B37">
            <v>304</v>
          </cell>
          <cell r="C37" t="str">
            <v>A3</v>
          </cell>
          <cell r="D37">
            <v>35.94</v>
          </cell>
          <cell r="E37">
            <v>1</v>
          </cell>
          <cell r="G37">
            <v>2.87</v>
          </cell>
          <cell r="H37">
            <v>1</v>
          </cell>
          <cell r="L37" t="str">
            <v>IGUAL</v>
          </cell>
          <cell r="M37" t="str">
            <v>S-5_337</v>
          </cell>
          <cell r="N37" t="str">
            <v>S5_337</v>
          </cell>
          <cell r="O37" t="str">
            <v>S5_238</v>
          </cell>
          <cell r="P37" t="str">
            <v>MISMO SÓTANO</v>
          </cell>
          <cell r="Q37">
            <v>13368.75</v>
          </cell>
          <cell r="R37">
            <v>618381.67499999993</v>
          </cell>
          <cell r="S37">
            <v>675891.17077499989</v>
          </cell>
          <cell r="T37">
            <v>618389.75297346758</v>
          </cell>
          <cell r="U37">
            <v>675900</v>
          </cell>
          <cell r="V37">
            <v>37200</v>
          </cell>
          <cell r="W37">
            <v>713100</v>
          </cell>
          <cell r="X37">
            <v>17827.5</v>
          </cell>
          <cell r="AA37">
            <v>730927.5</v>
          </cell>
          <cell r="AB37">
            <v>73092.75</v>
          </cell>
          <cell r="AC37">
            <v>820143.5</v>
          </cell>
          <cell r="AF37">
            <v>820143.5</v>
          </cell>
          <cell r="AH37">
            <v>13671.70101665298</v>
          </cell>
          <cell r="AI37">
            <v>833815.20101665298</v>
          </cell>
          <cell r="AN37">
            <v>833815.20101665298</v>
          </cell>
          <cell r="AO37">
            <v>833900</v>
          </cell>
          <cell r="AP37">
            <v>833815.2</v>
          </cell>
          <cell r="AQ37">
            <v>83381.520101665301</v>
          </cell>
          <cell r="AR37">
            <v>10000</v>
          </cell>
          <cell r="AS37">
            <v>73381.520101665301</v>
          </cell>
          <cell r="AT37">
            <v>750433.68091498769</v>
          </cell>
          <cell r="AU37">
            <v>5124.3715461854226</v>
          </cell>
          <cell r="AV37">
            <v>400.50592912510774</v>
          </cell>
          <cell r="AW37">
            <v>243.19610029652381</v>
          </cell>
          <cell r="AX37">
            <v>5768.0735756070535</v>
          </cell>
          <cell r="AY37" t="e">
            <v>#REF!</v>
          </cell>
          <cell r="BF37" t="str">
            <v>PCV</v>
          </cell>
          <cell r="BG37" t="str">
            <v>Ricardo Alberto Vasquez Monterroso</v>
          </cell>
          <cell r="BH37" t="str">
            <v>Antonio Rada</v>
          </cell>
          <cell r="BI37">
            <v>45719</v>
          </cell>
          <cell r="BL37" t="str">
            <v>WhatsApp</v>
          </cell>
          <cell r="BN37">
            <v>1</v>
          </cell>
          <cell r="BO37">
            <v>721100</v>
          </cell>
          <cell r="BP37">
            <v>-9827.5</v>
          </cell>
        </row>
        <row r="38">
          <cell r="B38">
            <v>305</v>
          </cell>
          <cell r="C38" t="str">
            <v>B7</v>
          </cell>
          <cell r="D38">
            <v>53.1</v>
          </cell>
          <cell r="E38">
            <v>2</v>
          </cell>
          <cell r="G38">
            <v>1.46</v>
          </cell>
          <cell r="H38">
            <v>1</v>
          </cell>
          <cell r="L38" t="str">
            <v>IGUAL</v>
          </cell>
          <cell r="M38" t="str">
            <v>S-2_305</v>
          </cell>
          <cell r="N38" t="str">
            <v>S2_305</v>
          </cell>
          <cell r="O38" t="str">
            <v>S2_47</v>
          </cell>
          <cell r="P38" t="str">
            <v>MISMO SÓTANO</v>
          </cell>
          <cell r="Q38">
            <v>13175</v>
          </cell>
          <cell r="R38">
            <v>828978.54799999995</v>
          </cell>
          <cell r="S38">
            <v>906073.55296399991</v>
          </cell>
          <cell r="T38">
            <v>829002.74473924981</v>
          </cell>
          <cell r="U38">
            <v>906100</v>
          </cell>
          <cell r="V38">
            <v>45400</v>
          </cell>
          <cell r="W38">
            <v>951500</v>
          </cell>
          <cell r="AA38">
            <v>951500</v>
          </cell>
          <cell r="AC38">
            <v>951500</v>
          </cell>
          <cell r="AF38">
            <v>951500</v>
          </cell>
          <cell r="AG38">
            <v>142725</v>
          </cell>
          <cell r="AH38">
            <v>18240.609167719958</v>
          </cell>
          <cell r="AI38">
            <v>1112465.60916772</v>
          </cell>
          <cell r="AN38">
            <v>1112465.60916772</v>
          </cell>
          <cell r="AO38">
            <v>1112500</v>
          </cell>
          <cell r="AP38">
            <v>1112465.6100000001</v>
          </cell>
          <cell r="AQ38">
            <v>111246.560916772</v>
          </cell>
          <cell r="AR38">
            <v>10000</v>
          </cell>
          <cell r="AS38">
            <v>101246.560916772</v>
          </cell>
          <cell r="AT38">
            <v>1001219.048250948</v>
          </cell>
          <cell r="AU38">
            <v>6836.8711757451429</v>
          </cell>
          <cell r="AV38">
            <v>534.34990376308599</v>
          </cell>
          <cell r="AW38">
            <v>324.46913600725168</v>
          </cell>
          <cell r="AX38">
            <v>7695.6902155154812</v>
          </cell>
          <cell r="AY38" t="e">
            <v>#REF!</v>
          </cell>
          <cell r="BF38" t="str">
            <v>PCV</v>
          </cell>
          <cell r="BG38" t="str">
            <v>Josue Alejandro Arias Perez</v>
          </cell>
          <cell r="BH38" t="str">
            <v>Antonio Rada</v>
          </cell>
          <cell r="BI38">
            <v>45748</v>
          </cell>
          <cell r="BL38" t="str">
            <v>FB Leads</v>
          </cell>
          <cell r="BN38">
            <v>1</v>
          </cell>
          <cell r="BO38">
            <v>951500</v>
          </cell>
          <cell r="BP38">
            <v>0</v>
          </cell>
        </row>
        <row r="39">
          <cell r="B39">
            <v>306</v>
          </cell>
          <cell r="C39" t="str">
            <v>B2</v>
          </cell>
          <cell r="D39">
            <v>52.63</v>
          </cell>
          <cell r="E39">
            <v>2</v>
          </cell>
          <cell r="G39">
            <v>1.45</v>
          </cell>
          <cell r="H39">
            <v>1</v>
          </cell>
          <cell r="L39" t="str">
            <v>IGUAL</v>
          </cell>
          <cell r="M39" t="str">
            <v>S-4_306</v>
          </cell>
          <cell r="N39" t="str">
            <v>S4_306</v>
          </cell>
          <cell r="O39" t="str">
            <v>S4_188</v>
          </cell>
          <cell r="P39" t="str">
            <v>MISMO SÓTANO</v>
          </cell>
          <cell r="Q39">
            <v>13175</v>
          </cell>
          <cell r="R39">
            <v>822722.01</v>
          </cell>
          <cell r="S39">
            <v>899235.15692999994</v>
          </cell>
          <cell r="T39">
            <v>822781.33577310154</v>
          </cell>
          <cell r="U39">
            <v>899300</v>
          </cell>
          <cell r="V39">
            <v>45000</v>
          </cell>
          <cell r="W39">
            <v>944300</v>
          </cell>
          <cell r="AA39">
            <v>944300</v>
          </cell>
          <cell r="AC39">
            <v>944300</v>
          </cell>
          <cell r="AF39">
            <v>944300</v>
          </cell>
          <cell r="AG39">
            <v>141645</v>
          </cell>
          <cell r="AH39">
            <v>18102.582487730077</v>
          </cell>
          <cell r="AI39">
            <v>1104047.5824877301</v>
          </cell>
          <cell r="AJ39">
            <v>77283.330774141112</v>
          </cell>
          <cell r="AK39">
            <v>10000</v>
          </cell>
          <cell r="AM39">
            <v>84900</v>
          </cell>
          <cell r="AN39">
            <v>1106430.9132618711</v>
          </cell>
          <cell r="AO39">
            <v>1106500</v>
          </cell>
          <cell r="AP39">
            <v>1106500</v>
          </cell>
          <cell r="AQ39">
            <v>110404.75824877301</v>
          </cell>
          <cell r="AR39">
            <v>10000</v>
          </cell>
          <cell r="AS39">
            <v>100404.75824877301</v>
          </cell>
          <cell r="AT39">
            <v>993642.82423895702</v>
          </cell>
          <cell r="AU39">
            <v>6785.1365751509429</v>
          </cell>
          <cell r="AV39">
            <v>530.30647832210263</v>
          </cell>
          <cell r="AW39">
            <v>322.01387822558792</v>
          </cell>
          <cell r="AX39">
            <v>7637.4569316986335</v>
          </cell>
          <cell r="AY39" t="e">
            <v>#REF!</v>
          </cell>
          <cell r="BB39" t="str">
            <v>Modra</v>
          </cell>
          <cell r="BC39" t="str">
            <v>M2</v>
          </cell>
          <cell r="BD39" t="str">
            <v>Precio</v>
          </cell>
          <cell r="BE39" t="str">
            <v>Comp</v>
          </cell>
          <cell r="BF39" t="str">
            <v>PCV</v>
          </cell>
          <cell r="BG39" t="str">
            <v>Ricardo José Ruiz Álvarez</v>
          </cell>
          <cell r="BH39" t="str">
            <v>Anahi Cisneros</v>
          </cell>
          <cell r="BI39">
            <v>46033</v>
          </cell>
          <cell r="BL39" t="str">
            <v>Meta</v>
          </cell>
          <cell r="BN39">
            <v>1</v>
          </cell>
          <cell r="BO39">
            <v>944300</v>
          </cell>
          <cell r="BP39">
            <v>0</v>
          </cell>
        </row>
        <row r="40">
          <cell r="B40">
            <v>307</v>
          </cell>
          <cell r="C40" t="str">
            <v>B6</v>
          </cell>
          <cell r="D40">
            <v>50.03</v>
          </cell>
          <cell r="E40">
            <v>2</v>
          </cell>
          <cell r="G40">
            <v>1.26</v>
          </cell>
          <cell r="H40">
            <v>1</v>
          </cell>
          <cell r="L40" t="str">
            <v>IGUAL</v>
          </cell>
          <cell r="M40" t="str">
            <v>S-4_307</v>
          </cell>
          <cell r="N40" t="str">
            <v>S4_307</v>
          </cell>
          <cell r="O40" t="str">
            <v>S4_189</v>
          </cell>
          <cell r="P40" t="str">
            <v>MISMO SÓTANO</v>
          </cell>
          <cell r="Q40">
            <v>13175</v>
          </cell>
          <cell r="R40">
            <v>787245.53799999994</v>
          </cell>
          <cell r="S40">
            <v>860459.37303399993</v>
          </cell>
          <cell r="T40">
            <v>787282.70814272645</v>
          </cell>
          <cell r="U40">
            <v>860500</v>
          </cell>
          <cell r="V40">
            <v>43100</v>
          </cell>
          <cell r="W40">
            <v>903600</v>
          </cell>
          <cell r="AA40">
            <v>903600</v>
          </cell>
          <cell r="AC40">
            <v>903600</v>
          </cell>
          <cell r="AF40">
            <v>903600</v>
          </cell>
          <cell r="AG40">
            <v>135540</v>
          </cell>
          <cell r="AH40">
            <v>17322.348338359967</v>
          </cell>
          <cell r="AI40">
            <v>1056462.34833836</v>
          </cell>
          <cell r="AJ40">
            <v>73952.364383685199</v>
          </cell>
          <cell r="AK40">
            <v>10000</v>
          </cell>
          <cell r="AM40">
            <v>84900</v>
          </cell>
          <cell r="AN40">
            <v>1055514.7127220451</v>
          </cell>
          <cell r="AO40">
            <v>1055600</v>
          </cell>
          <cell r="AP40">
            <v>1055600</v>
          </cell>
          <cell r="AQ40">
            <v>105646.234833836</v>
          </cell>
          <cell r="AR40">
            <v>10000</v>
          </cell>
          <cell r="AS40">
            <v>95646.234833836003</v>
          </cell>
          <cell r="AT40">
            <v>950816.11350452399</v>
          </cell>
          <cell r="AU40">
            <v>6492.6923745699396</v>
          </cell>
          <cell r="AV40">
            <v>507.44989284321952</v>
          </cell>
          <cell r="AW40">
            <v>308.13485159868833</v>
          </cell>
          <cell r="AX40">
            <v>7308.2771190118474</v>
          </cell>
          <cell r="AY40" t="e">
            <v>#REF!</v>
          </cell>
          <cell r="BB40" t="str">
            <v>1 H</v>
          </cell>
          <cell r="BC40">
            <v>29</v>
          </cell>
          <cell r="BD40">
            <v>582665</v>
          </cell>
          <cell r="BF40" t="str">
            <v>PCV</v>
          </cell>
          <cell r="BG40" t="str">
            <v>Hector Salvador Juárez Hernández - Angee Brizel Canelas Díaz</v>
          </cell>
          <cell r="BH40" t="str">
            <v>Erwin Cardona</v>
          </cell>
          <cell r="BI40">
            <v>45995</v>
          </cell>
          <cell r="BL40" t="str">
            <v>Meta</v>
          </cell>
          <cell r="BN40">
            <v>1</v>
          </cell>
          <cell r="BO40">
            <v>903600</v>
          </cell>
          <cell r="BP40">
            <v>0</v>
          </cell>
        </row>
        <row r="41">
          <cell r="B41">
            <v>308</v>
          </cell>
          <cell r="C41" t="str">
            <v>B1</v>
          </cell>
          <cell r="D41">
            <v>48.69</v>
          </cell>
          <cell r="E41">
            <v>2</v>
          </cell>
          <cell r="G41">
            <v>1.26</v>
          </cell>
          <cell r="H41">
            <v>1</v>
          </cell>
          <cell r="L41" t="str">
            <v>IGUAL</v>
          </cell>
          <cell r="M41" t="str">
            <v>S-4_262</v>
          </cell>
          <cell r="N41" t="str">
            <v>S4_262</v>
          </cell>
          <cell r="O41" t="str">
            <v>S4_190</v>
          </cell>
          <cell r="P41" t="str">
            <v>MISMO SÓTANO</v>
          </cell>
          <cell r="Q41">
            <v>13175</v>
          </cell>
          <cell r="R41">
            <v>769591.03799999994</v>
          </cell>
          <cell r="S41">
            <v>841163.00453399995</v>
          </cell>
          <cell r="T41">
            <v>769624.88563586457</v>
          </cell>
          <cell r="U41">
            <v>841200</v>
          </cell>
          <cell r="V41">
            <v>42100</v>
          </cell>
          <cell r="W41">
            <v>883300</v>
          </cell>
          <cell r="AA41">
            <v>883300</v>
          </cell>
          <cell r="AC41">
            <v>883300</v>
          </cell>
          <cell r="AF41">
            <v>883300</v>
          </cell>
          <cell r="AG41">
            <v>132495</v>
          </cell>
          <cell r="AH41">
            <v>16933.189782290021</v>
          </cell>
          <cell r="AI41">
            <v>1032728.18978229</v>
          </cell>
          <cell r="AN41">
            <v>1032728.18978229</v>
          </cell>
          <cell r="AO41">
            <v>1032800</v>
          </cell>
          <cell r="AP41">
            <v>1032728.19</v>
          </cell>
          <cell r="AQ41">
            <v>103272.81897822901</v>
          </cell>
          <cell r="AR41">
            <v>10000</v>
          </cell>
          <cell r="AS41">
            <v>93272.818978229014</v>
          </cell>
          <cell r="AT41">
            <v>929455.37080406095</v>
          </cell>
          <cell r="AU41">
            <v>6346.8295423391446</v>
          </cell>
          <cell r="AV41">
            <v>496.04967944712007</v>
          </cell>
          <cell r="AW41">
            <v>301.21238868650124</v>
          </cell>
          <cell r="AX41">
            <v>7144.0916104727658</v>
          </cell>
          <cell r="AY41" t="e">
            <v>#REF!</v>
          </cell>
          <cell r="BB41" t="str">
            <v>1 H</v>
          </cell>
          <cell r="BC41">
            <v>35</v>
          </cell>
          <cell r="BD41">
            <v>606184</v>
          </cell>
          <cell r="BF41" t="str">
            <v>PCV</v>
          </cell>
          <cell r="BG41" t="str">
            <v>Ricardo Alberto Vasquez Monterroso</v>
          </cell>
          <cell r="BH41" t="str">
            <v>Antonio Rada</v>
          </cell>
          <cell r="BI41">
            <v>45719</v>
          </cell>
          <cell r="BL41" t="str">
            <v>WhatsApp</v>
          </cell>
          <cell r="BN41">
            <v>1</v>
          </cell>
          <cell r="BO41">
            <v>883300</v>
          </cell>
          <cell r="BP41">
            <v>0</v>
          </cell>
        </row>
        <row r="42">
          <cell r="B42">
            <v>309</v>
          </cell>
          <cell r="C42" t="str">
            <v>D7</v>
          </cell>
          <cell r="D42">
            <v>66.72</v>
          </cell>
          <cell r="E42">
            <v>3</v>
          </cell>
          <cell r="F42">
            <v>1</v>
          </cell>
          <cell r="G42">
            <v>1.61</v>
          </cell>
          <cell r="I42">
            <v>1</v>
          </cell>
          <cell r="J42">
            <v>78</v>
          </cell>
          <cell r="K42">
            <v>80</v>
          </cell>
          <cell r="L42" t="str">
            <v>DIFERENTE</v>
          </cell>
          <cell r="M42" t="str">
            <v>S-4_280-281</v>
          </cell>
          <cell r="N42" t="str">
            <v>S4_280-281</v>
          </cell>
          <cell r="O42" t="str">
            <v>S4_204</v>
          </cell>
          <cell r="P42" t="str">
            <v>MISMO SÓTANO</v>
          </cell>
          <cell r="Q42">
            <v>12710</v>
          </cell>
          <cell r="R42">
            <v>1140505.568</v>
          </cell>
          <cell r="S42">
            <v>1246572.585824</v>
          </cell>
          <cell r="T42">
            <v>1140530.6495882892</v>
          </cell>
          <cell r="U42">
            <v>1246600</v>
          </cell>
          <cell r="V42">
            <v>31200</v>
          </cell>
          <cell r="W42">
            <v>1277800</v>
          </cell>
          <cell r="AA42">
            <v>1277800</v>
          </cell>
          <cell r="AC42">
            <v>1277800</v>
          </cell>
          <cell r="AF42">
            <v>1277800</v>
          </cell>
          <cell r="AG42">
            <v>63890</v>
          </cell>
          <cell r="AH42">
            <v>0</v>
          </cell>
          <cell r="AI42">
            <v>1341690</v>
          </cell>
          <cell r="AN42">
            <v>1341690</v>
          </cell>
          <cell r="AO42">
            <v>1341700</v>
          </cell>
          <cell r="AP42">
            <v>1341690</v>
          </cell>
          <cell r="AQ42">
            <v>134169</v>
          </cell>
          <cell r="AR42">
            <v>10000</v>
          </cell>
          <cell r="AS42">
            <v>124169</v>
          </cell>
          <cell r="AT42">
            <v>1207521</v>
          </cell>
          <cell r="AU42">
            <v>8245.6137180259993</v>
          </cell>
          <cell r="AV42">
            <v>644.45311070448292</v>
          </cell>
          <cell r="AW42">
            <v>391.32625000000002</v>
          </cell>
          <cell r="AX42">
            <v>9281.3930787304816</v>
          </cell>
          <cell r="AY42" t="e">
            <v>#REF!</v>
          </cell>
          <cell r="BB42" t="str">
            <v>1 H</v>
          </cell>
          <cell r="BC42">
            <v>37</v>
          </cell>
          <cell r="BD42">
            <v>681156</v>
          </cell>
          <cell r="BE42">
            <v>-20068.093871499994</v>
          </cell>
          <cell r="BF42" t="str">
            <v>PCV</v>
          </cell>
          <cell r="BG42" t="str">
            <v xml:space="preserve">Leonel Molina Gramajo </v>
          </cell>
          <cell r="BH42" t="str">
            <v>Antonio Rada</v>
          </cell>
          <cell r="BI42">
            <v>45516</v>
          </cell>
          <cell r="BL42" t="str">
            <v>FB Leads</v>
          </cell>
          <cell r="BN42">
            <v>1</v>
          </cell>
          <cell r="BO42">
            <v>1277800</v>
          </cell>
          <cell r="BP42">
            <v>0</v>
          </cell>
        </row>
        <row r="43">
          <cell r="B43">
            <v>310</v>
          </cell>
          <cell r="C43" t="str">
            <v>A9</v>
          </cell>
          <cell r="D43">
            <v>48.09</v>
          </cell>
          <cell r="E43">
            <v>1</v>
          </cell>
          <cell r="G43">
            <v>1.49</v>
          </cell>
          <cell r="H43">
            <v>1</v>
          </cell>
          <cell r="L43" t="str">
            <v>IGUAL</v>
          </cell>
          <cell r="M43" t="str">
            <v>S-4_263</v>
          </cell>
          <cell r="N43" t="str">
            <v>S4_263</v>
          </cell>
          <cell r="O43" t="str">
            <v>S4_191</v>
          </cell>
          <cell r="P43" t="str">
            <v>MISMO SÓTANO</v>
          </cell>
          <cell r="Q43">
            <v>13368.75</v>
          </cell>
          <cell r="R43">
            <v>772482.09950000001</v>
          </cell>
          <cell r="S43">
            <v>844322.93475350004</v>
          </cell>
          <cell r="T43">
            <v>772552.60750228725</v>
          </cell>
          <cell r="U43">
            <v>844400</v>
          </cell>
          <cell r="V43">
            <v>46500</v>
          </cell>
          <cell r="W43">
            <v>890900</v>
          </cell>
          <cell r="X43">
            <v>22272.5</v>
          </cell>
          <cell r="AA43">
            <v>913172.5</v>
          </cell>
          <cell r="AB43">
            <v>91317.25</v>
          </cell>
          <cell r="AC43">
            <v>1004489.75</v>
          </cell>
          <cell r="AF43">
            <v>1004489.75</v>
          </cell>
          <cell r="AH43">
            <v>16744.732520950027</v>
          </cell>
          <cell r="AI43">
            <v>1021234.48252095</v>
          </cell>
          <cell r="AJ43">
            <v>163397.51720335201</v>
          </cell>
          <cell r="AK43">
            <v>10000</v>
          </cell>
          <cell r="AL43">
            <v>20000</v>
          </cell>
          <cell r="AM43">
            <v>185500</v>
          </cell>
          <cell r="AN43">
            <v>1029131.999724302</v>
          </cell>
          <cell r="AO43">
            <v>1029200</v>
          </cell>
          <cell r="AQ43">
            <v>102123.44825209501</v>
          </cell>
          <cell r="AR43">
            <v>10000</v>
          </cell>
          <cell r="AS43">
            <v>92123.448252095011</v>
          </cell>
          <cell r="AT43">
            <v>919111.034268855</v>
          </cell>
          <cell r="AU43">
            <v>6276.192755700592</v>
          </cell>
          <cell r="AV43">
            <v>490.52891429414336</v>
          </cell>
          <cell r="AW43">
            <v>297.86005740194378</v>
          </cell>
          <cell r="AX43">
            <v>7064.5817273966795</v>
          </cell>
          <cell r="AY43" t="e">
            <v>#REF!</v>
          </cell>
          <cell r="BB43" t="str">
            <v>1 H</v>
          </cell>
          <cell r="BC43">
            <v>39</v>
          </cell>
          <cell r="BD43">
            <v>762872</v>
          </cell>
          <cell r="BE43">
            <v>-96085.396809000056</v>
          </cell>
          <cell r="BF43" t="str">
            <v>Disponible</v>
          </cell>
          <cell r="BO43">
            <v>913200</v>
          </cell>
          <cell r="BP43">
            <v>27.5</v>
          </cell>
        </row>
        <row r="44">
          <cell r="B44">
            <v>311</v>
          </cell>
          <cell r="C44" t="str">
            <v>C9</v>
          </cell>
          <cell r="D44">
            <v>57.85</v>
          </cell>
          <cell r="E44">
            <v>2</v>
          </cell>
          <cell r="F44">
            <v>1</v>
          </cell>
          <cell r="G44">
            <v>1.49</v>
          </cell>
          <cell r="I44">
            <v>1</v>
          </cell>
          <cell r="J44">
            <v>126</v>
          </cell>
          <cell r="K44">
            <v>127</v>
          </cell>
          <cell r="L44" t="str">
            <v>DIFERENTE</v>
          </cell>
          <cell r="M44" t="str">
            <v>S-5_410-411</v>
          </cell>
          <cell r="N44" t="str">
            <v>S5_410-411</v>
          </cell>
          <cell r="O44" t="str">
            <v>S5_290</v>
          </cell>
          <cell r="P44" t="str">
            <v>MISMO SÓTANO</v>
          </cell>
          <cell r="Q44">
            <v>13175</v>
          </cell>
          <cell r="R44">
            <v>1053896.662</v>
          </cell>
          <cell r="S44">
            <v>1151909.0515660001</v>
          </cell>
          <cell r="T44">
            <v>1053979.8719121683</v>
          </cell>
          <cell r="U44">
            <v>1152000</v>
          </cell>
          <cell r="V44">
            <v>57600</v>
          </cell>
          <cell r="W44">
            <v>1209600</v>
          </cell>
          <cell r="AA44">
            <v>1209600</v>
          </cell>
          <cell r="AC44">
            <v>1209600</v>
          </cell>
          <cell r="AF44">
            <v>1209600</v>
          </cell>
          <cell r="AG44">
            <v>181440</v>
          </cell>
          <cell r="AH44">
            <v>0</v>
          </cell>
          <cell r="AI44">
            <v>1391040</v>
          </cell>
          <cell r="AN44">
            <v>1391040</v>
          </cell>
          <cell r="AO44">
            <v>1391100</v>
          </cell>
          <cell r="AP44">
            <v>1391040</v>
          </cell>
          <cell r="AQ44">
            <v>139104</v>
          </cell>
          <cell r="AR44">
            <v>10000</v>
          </cell>
          <cell r="AS44">
            <v>129104</v>
          </cell>
          <cell r="AT44">
            <v>1251936</v>
          </cell>
          <cell r="AU44">
            <v>8548.9036262645513</v>
          </cell>
          <cell r="AV44">
            <v>668.1573650503201</v>
          </cell>
          <cell r="AW44">
            <v>405.72</v>
          </cell>
          <cell r="AX44">
            <v>9622.7809913148703</v>
          </cell>
          <cell r="AY44" t="e">
            <v>#REF!</v>
          </cell>
          <cell r="BB44" t="str">
            <v>1 H</v>
          </cell>
          <cell r="BC44">
            <v>79</v>
          </cell>
          <cell r="BD44">
            <v>1123247</v>
          </cell>
          <cell r="BF44" t="str">
            <v>PCV</v>
          </cell>
          <cell r="BG44" t="str">
            <v>Miguel Teletor</v>
          </cell>
          <cell r="BH44" t="str">
            <v>Diana Alvarez</v>
          </cell>
          <cell r="BI44">
            <v>45561</v>
          </cell>
          <cell r="BL44" t="str">
            <v>FB Lead</v>
          </cell>
          <cell r="BN44">
            <v>1</v>
          </cell>
          <cell r="BO44">
            <v>1209600</v>
          </cell>
          <cell r="BP44">
            <v>0</v>
          </cell>
        </row>
        <row r="45">
          <cell r="B45">
            <v>312</v>
          </cell>
          <cell r="C45" t="str">
            <v>C8</v>
          </cell>
          <cell r="D45">
            <v>57.97</v>
          </cell>
          <cell r="E45">
            <v>2</v>
          </cell>
          <cell r="F45">
            <v>1</v>
          </cell>
          <cell r="G45">
            <v>1.26</v>
          </cell>
          <cell r="I45">
            <v>1</v>
          </cell>
          <cell r="J45">
            <v>130</v>
          </cell>
          <cell r="K45">
            <v>128</v>
          </cell>
          <cell r="L45" t="str">
            <v>DIFERENTE</v>
          </cell>
          <cell r="M45" t="str">
            <v>S-5_412-413</v>
          </cell>
          <cell r="N45" t="str">
            <v>S5_412-413</v>
          </cell>
          <cell r="O45" t="str">
            <v>S5_291</v>
          </cell>
          <cell r="P45" t="str">
            <v>MISMO SÓTANO</v>
          </cell>
          <cell r="Q45">
            <v>13175</v>
          </cell>
          <cell r="R45">
            <v>1053999.0379999999</v>
          </cell>
          <cell r="S45">
            <v>1152020.948534</v>
          </cell>
          <cell r="T45">
            <v>1054071.363220494</v>
          </cell>
          <cell r="U45">
            <v>1152100</v>
          </cell>
          <cell r="V45">
            <v>57700</v>
          </cell>
          <cell r="W45">
            <v>1209800</v>
          </cell>
          <cell r="AA45">
            <v>1209800</v>
          </cell>
          <cell r="AC45">
            <v>1209800</v>
          </cell>
          <cell r="AF45">
            <v>1209800</v>
          </cell>
          <cell r="AG45">
            <v>181470</v>
          </cell>
          <cell r="AH45">
            <v>23192.316312249983</v>
          </cell>
          <cell r="AI45">
            <v>1414462.31631225</v>
          </cell>
          <cell r="AN45">
            <v>1414462.31631225</v>
          </cell>
          <cell r="AO45">
            <v>1414500</v>
          </cell>
          <cell r="AP45">
            <v>1414462.32</v>
          </cell>
          <cell r="AQ45">
            <v>141446.231631225</v>
          </cell>
          <cell r="AR45">
            <v>10000</v>
          </cell>
          <cell r="AS45">
            <v>131446.231631225</v>
          </cell>
          <cell r="AT45">
            <v>1273016.084681025</v>
          </cell>
          <cell r="AU45">
            <v>8692.8499720614436</v>
          </cell>
          <cell r="AV45">
            <v>679.40779145830857</v>
          </cell>
          <cell r="AW45">
            <v>412.55150892440628</v>
          </cell>
          <cell r="AX45">
            <v>9784.8092724441576</v>
          </cell>
          <cell r="AY45" t="e">
            <v>#REF!</v>
          </cell>
          <cell r="BB45" t="str">
            <v>2H</v>
          </cell>
          <cell r="BC45">
            <v>66</v>
          </cell>
          <cell r="BD45">
            <v>1145825</v>
          </cell>
          <cell r="BE45">
            <v>6084.0515660000965</v>
          </cell>
          <cell r="BF45" t="str">
            <v>PCV</v>
          </cell>
          <cell r="BG45" t="str">
            <v>Freddy Alejandro Chinchilla Culajay</v>
          </cell>
          <cell r="BH45" t="str">
            <v>Antonio Rada</v>
          </cell>
          <cell r="BI45">
            <v>45650</v>
          </cell>
          <cell r="BL45" t="str">
            <v>Pagina Web</v>
          </cell>
          <cell r="BN45">
            <v>1</v>
          </cell>
          <cell r="BO45">
            <v>1209800</v>
          </cell>
          <cell r="BP45">
            <v>0</v>
          </cell>
        </row>
        <row r="46">
          <cell r="B46">
            <v>313</v>
          </cell>
          <cell r="C46" t="str">
            <v>B4</v>
          </cell>
          <cell r="D46">
            <v>49.77</v>
          </cell>
          <cell r="E46">
            <v>2</v>
          </cell>
          <cell r="F46">
            <v>1</v>
          </cell>
          <cell r="G46">
            <v>1.49</v>
          </cell>
          <cell r="I46">
            <v>1</v>
          </cell>
          <cell r="J46">
            <v>113</v>
          </cell>
          <cell r="K46">
            <v>114</v>
          </cell>
          <cell r="L46" t="str">
            <v>DIFERENTE</v>
          </cell>
          <cell r="M46" t="str">
            <v>S-5_384-385</v>
          </cell>
          <cell r="N46" t="str">
            <v>S5_384-385</v>
          </cell>
          <cell r="O46" t="str">
            <v>S5_277</v>
          </cell>
          <cell r="P46" t="str">
            <v>MISMO SÓTANO</v>
          </cell>
          <cell r="Q46">
            <v>13175</v>
          </cell>
          <cell r="R46">
            <v>947442.66200000001</v>
          </cell>
          <cell r="S46">
            <v>1035554.829566</v>
          </cell>
          <cell r="T46">
            <v>947483.98902104306</v>
          </cell>
          <cell r="U46">
            <v>1035600</v>
          </cell>
          <cell r="V46">
            <v>51800</v>
          </cell>
          <cell r="W46">
            <v>1087400</v>
          </cell>
          <cell r="AA46">
            <v>1087400</v>
          </cell>
          <cell r="AC46">
            <v>1087400</v>
          </cell>
          <cell r="AF46">
            <v>1087400</v>
          </cell>
          <cell r="AH46">
            <v>0</v>
          </cell>
          <cell r="AI46">
            <v>1087400</v>
          </cell>
          <cell r="AN46">
            <v>1087400</v>
          </cell>
          <cell r="AO46">
            <v>1087400</v>
          </cell>
          <cell r="AP46">
            <v>1087400</v>
          </cell>
          <cell r="AQ46">
            <v>108740</v>
          </cell>
          <cell r="AR46">
            <v>10000</v>
          </cell>
          <cell r="AS46">
            <v>98740</v>
          </cell>
          <cell r="AT46">
            <v>978660</v>
          </cell>
          <cell r="AU46">
            <v>6682.8256579250583</v>
          </cell>
          <cell r="AV46">
            <v>522.31015553522411</v>
          </cell>
          <cell r="AW46">
            <v>317.15833333333336</v>
          </cell>
          <cell r="AX46">
            <v>7522.2941467936162</v>
          </cell>
          <cell r="AY46" t="e">
            <v>#REF!</v>
          </cell>
          <cell r="BB46" t="str">
            <v>2H</v>
          </cell>
          <cell r="BC46">
            <v>72</v>
          </cell>
          <cell r="BF46" t="str">
            <v>PCV</v>
          </cell>
          <cell r="BG46" t="str">
            <v>Lesly Franzoli Cortez Avila</v>
          </cell>
          <cell r="BH46" t="str">
            <v>Antonio Rada</v>
          </cell>
          <cell r="BL46" t="str">
            <v>Chat Bot</v>
          </cell>
          <cell r="BN46">
            <v>1</v>
          </cell>
          <cell r="BO46">
            <v>1087400</v>
          </cell>
          <cell r="BP46">
            <v>0</v>
          </cell>
        </row>
        <row r="47">
          <cell r="B47">
            <v>314</v>
          </cell>
          <cell r="C47" t="str">
            <v>B3</v>
          </cell>
          <cell r="D47">
            <v>48.96</v>
          </cell>
          <cell r="E47">
            <v>2</v>
          </cell>
          <cell r="G47">
            <v>1.26</v>
          </cell>
          <cell r="H47">
            <v>1</v>
          </cell>
          <cell r="L47" t="str">
            <v>IGUAL</v>
          </cell>
          <cell r="M47" t="str">
            <v>S-4_264</v>
          </cell>
          <cell r="N47" t="str">
            <v>S4_264</v>
          </cell>
          <cell r="O47" t="str">
            <v>S4_192</v>
          </cell>
          <cell r="P47" t="str">
            <v>MISMO SÓTANO</v>
          </cell>
          <cell r="Q47">
            <v>13175</v>
          </cell>
          <cell r="R47">
            <v>773148.28799999994</v>
          </cell>
          <cell r="S47">
            <v>845051.0787839999</v>
          </cell>
          <cell r="T47">
            <v>773193.04666056728</v>
          </cell>
          <cell r="U47">
            <v>845100</v>
          </cell>
          <cell r="V47">
            <v>42300</v>
          </cell>
          <cell r="W47">
            <v>887400</v>
          </cell>
          <cell r="AA47">
            <v>887400</v>
          </cell>
          <cell r="AC47">
            <v>887400</v>
          </cell>
          <cell r="AF47">
            <v>887400</v>
          </cell>
          <cell r="AG47">
            <v>133110</v>
          </cell>
          <cell r="AH47">
            <v>17011.788308389951</v>
          </cell>
          <cell r="AI47">
            <v>1037521.78830839</v>
          </cell>
          <cell r="AJ47">
            <v>72626.525181587305</v>
          </cell>
          <cell r="AN47">
            <v>1110148.3134899773</v>
          </cell>
          <cell r="AO47">
            <v>1110200</v>
          </cell>
          <cell r="AP47">
            <v>1110148.31</v>
          </cell>
          <cell r="AQ47">
            <v>103752.178830839</v>
          </cell>
          <cell r="AR47">
            <v>10000</v>
          </cell>
          <cell r="AS47">
            <v>93752.178830838995</v>
          </cell>
          <cell r="AT47">
            <v>933769.60947755096</v>
          </cell>
          <cell r="AU47">
            <v>6376.289523233032</v>
          </cell>
          <cell r="AV47">
            <v>498.35218560101066</v>
          </cell>
          <cell r="AW47">
            <v>302.61052158994704</v>
          </cell>
          <cell r="AX47">
            <v>7177.2522304239892</v>
          </cell>
          <cell r="AY47" t="e">
            <v>#REF!</v>
          </cell>
          <cell r="BB47" t="str">
            <v>3H</v>
          </cell>
          <cell r="BC47">
            <v>65</v>
          </cell>
          <cell r="BD47">
            <v>1156465</v>
          </cell>
          <cell r="BE47">
            <v>90107.585823999951</v>
          </cell>
          <cell r="BF47" t="str">
            <v>PCV</v>
          </cell>
          <cell r="BG47" t="str">
            <v>Aracely Abigail Contreras Zuñiga</v>
          </cell>
          <cell r="BH47" t="str">
            <v>Laura Molina</v>
          </cell>
          <cell r="BI47">
            <v>45879</v>
          </cell>
          <cell r="BK47" t="str">
            <v>Apto 210</v>
          </cell>
          <cell r="BL47" t="str">
            <v>Referido de cliente</v>
          </cell>
          <cell r="BN47">
            <v>1</v>
          </cell>
          <cell r="BO47">
            <v>887400</v>
          </cell>
          <cell r="BP47">
            <v>0</v>
          </cell>
        </row>
        <row r="48">
          <cell r="B48">
            <v>315</v>
          </cell>
          <cell r="C48" t="str">
            <v>E1</v>
          </cell>
          <cell r="D48">
            <v>74.8</v>
          </cell>
          <cell r="E48">
            <v>3</v>
          </cell>
          <cell r="F48">
            <v>1</v>
          </cell>
          <cell r="G48">
            <v>1.26</v>
          </cell>
          <cell r="I48">
            <v>1</v>
          </cell>
          <cell r="J48">
            <v>55</v>
          </cell>
          <cell r="K48">
            <v>58</v>
          </cell>
          <cell r="L48" t="str">
            <v>DIFERENTE</v>
          </cell>
          <cell r="M48" t="str">
            <v>S-3_196-197</v>
          </cell>
          <cell r="N48" t="str">
            <v>S3_196-197</v>
          </cell>
          <cell r="O48" t="str">
            <v>S3_141</v>
          </cell>
          <cell r="P48" t="str">
            <v>MISMO SÓTANO</v>
          </cell>
          <cell r="Q48">
            <v>12710</v>
          </cell>
          <cell r="R48">
            <v>1240952.2879999999</v>
          </cell>
          <cell r="S48">
            <v>1356360.850784</v>
          </cell>
          <cell r="T48">
            <v>1240988.1061299178</v>
          </cell>
          <cell r="U48">
            <v>1356400</v>
          </cell>
          <cell r="V48">
            <v>34000</v>
          </cell>
          <cell r="W48">
            <v>1390400</v>
          </cell>
          <cell r="AA48">
            <v>1390400</v>
          </cell>
          <cell r="AC48">
            <v>1390400</v>
          </cell>
          <cell r="AD48">
            <v>55616</v>
          </cell>
          <cell r="AF48">
            <v>1446016</v>
          </cell>
          <cell r="AG48">
            <v>72300.800000000003</v>
          </cell>
          <cell r="AH48">
            <v>25310.172351740068</v>
          </cell>
          <cell r="AI48">
            <v>1543626.9723517401</v>
          </cell>
          <cell r="AN48">
            <v>1543626.9723517401</v>
          </cell>
          <cell r="AO48">
            <v>1543700</v>
          </cell>
          <cell r="AP48">
            <v>1543626.97</v>
          </cell>
          <cell r="AQ48">
            <v>154362.69723517401</v>
          </cell>
          <cell r="AR48">
            <v>10000</v>
          </cell>
          <cell r="AS48">
            <v>144362.69723517401</v>
          </cell>
          <cell r="AT48">
            <v>1389264.2751165661</v>
          </cell>
          <cell r="AU48">
            <v>9486.6561864055384</v>
          </cell>
          <cell r="AV48">
            <v>741.44936915339758</v>
          </cell>
          <cell r="AW48">
            <v>450.22453360259084</v>
          </cell>
          <cell r="AX48">
            <v>10678.330089161527</v>
          </cell>
          <cell r="AY48" t="e">
            <v>#REF!</v>
          </cell>
          <cell r="BB48" t="str">
            <v>3H</v>
          </cell>
          <cell r="BF48" t="str">
            <v>PCV</v>
          </cell>
          <cell r="BG48" t="str">
            <v>Lilian America Roldán Ochoa</v>
          </cell>
          <cell r="BH48" t="str">
            <v>Sofia Paredes</v>
          </cell>
          <cell r="BI48">
            <v>45752</v>
          </cell>
          <cell r="BL48" t="str">
            <v>PBX</v>
          </cell>
          <cell r="BN48">
            <v>1</v>
          </cell>
          <cell r="BO48">
            <v>1390400</v>
          </cell>
          <cell r="BP48">
            <v>0</v>
          </cell>
        </row>
        <row r="49">
          <cell r="B49">
            <v>316</v>
          </cell>
          <cell r="C49" t="str">
            <v>A4</v>
          </cell>
          <cell r="D49">
            <v>35.549999999999997</v>
          </cell>
          <cell r="E49">
            <v>1</v>
          </cell>
          <cell r="G49">
            <v>1.49</v>
          </cell>
          <cell r="H49">
            <v>1</v>
          </cell>
          <cell r="L49" t="str">
            <v>IGUAL</v>
          </cell>
          <cell r="M49" t="str">
            <v>S-5_338</v>
          </cell>
          <cell r="N49" t="str">
            <v>S5_338</v>
          </cell>
          <cell r="O49" t="str">
            <v>S5_239</v>
          </cell>
          <cell r="P49" t="str">
            <v>MISMO SÓTANO</v>
          </cell>
          <cell r="Q49">
            <v>13368.75</v>
          </cell>
          <cell r="R49">
            <v>604837.97450000001</v>
          </cell>
          <cell r="S49">
            <v>661087.90612850001</v>
          </cell>
          <cell r="T49">
            <v>604849.03934126254</v>
          </cell>
          <cell r="U49">
            <v>661100</v>
          </cell>
          <cell r="V49">
            <v>36400</v>
          </cell>
          <cell r="W49">
            <v>697500</v>
          </cell>
          <cell r="X49">
            <v>17437.5</v>
          </cell>
          <cell r="AA49">
            <v>714937.5</v>
          </cell>
          <cell r="AC49">
            <v>714937.5</v>
          </cell>
          <cell r="AF49">
            <v>714937.5</v>
          </cell>
          <cell r="AH49">
            <v>-6541.0600000000559</v>
          </cell>
          <cell r="AI49">
            <v>708396.44</v>
          </cell>
          <cell r="AN49">
            <v>708396.44</v>
          </cell>
          <cell r="AO49">
            <v>708400</v>
          </cell>
          <cell r="AP49">
            <v>708396.44</v>
          </cell>
          <cell r="AQ49">
            <v>70839.644</v>
          </cell>
          <cell r="AR49">
            <v>10000</v>
          </cell>
          <cell r="AS49">
            <v>60839.644</v>
          </cell>
          <cell r="AT49">
            <v>637556.79599999997</v>
          </cell>
          <cell r="AU49">
            <v>4353.5864495261803</v>
          </cell>
          <cell r="AV49">
            <v>340.26361482159189</v>
          </cell>
          <cell r="AW49">
            <v>206.61562833333332</v>
          </cell>
          <cell r="AX49">
            <v>4900.4656926811049</v>
          </cell>
          <cell r="AY49" t="e">
            <v>#REF!</v>
          </cell>
          <cell r="BB49" t="str">
            <v>3H</v>
          </cell>
          <cell r="BF49" t="str">
            <v>PCV</v>
          </cell>
          <cell r="BG49" t="str">
            <v>Allan Omar Alvarado Vasquez</v>
          </cell>
          <cell r="BH49" t="str">
            <v>Antonio Rada</v>
          </cell>
          <cell r="BL49">
            <v>1</v>
          </cell>
          <cell r="BN49">
            <v>1</v>
          </cell>
          <cell r="BO49">
            <v>715000</v>
          </cell>
          <cell r="BP49">
            <v>62.5</v>
          </cell>
        </row>
        <row r="50">
          <cell r="B50">
            <v>317</v>
          </cell>
          <cell r="C50" t="str">
            <v>A8</v>
          </cell>
          <cell r="D50">
            <v>35.94</v>
          </cell>
          <cell r="E50">
            <v>1</v>
          </cell>
          <cell r="G50">
            <v>1.49</v>
          </cell>
          <cell r="H50">
            <v>1</v>
          </cell>
          <cell r="L50" t="str">
            <v>IGUAL</v>
          </cell>
          <cell r="M50" t="str">
            <v>S-5_339</v>
          </cell>
          <cell r="N50" t="str">
            <v>S5_339</v>
          </cell>
          <cell r="O50" t="str">
            <v>S5_240</v>
          </cell>
          <cell r="P50" t="str">
            <v>MISMO SÓTANO</v>
          </cell>
          <cell r="Q50">
            <v>13368.75</v>
          </cell>
          <cell r="R50">
            <v>610051.78700000001</v>
          </cell>
          <cell r="S50">
            <v>666786.60319099994</v>
          </cell>
          <cell r="T50">
            <v>610064.04391582799</v>
          </cell>
          <cell r="U50">
            <v>666800</v>
          </cell>
          <cell r="V50">
            <v>36700</v>
          </cell>
          <cell r="W50">
            <v>703500</v>
          </cell>
          <cell r="X50">
            <v>17587.5</v>
          </cell>
          <cell r="AA50">
            <v>721087.5</v>
          </cell>
          <cell r="AB50">
            <v>72108.75</v>
          </cell>
          <cell r="AC50">
            <v>793196.25</v>
          </cell>
          <cell r="AF50">
            <v>793196.25</v>
          </cell>
          <cell r="AH50">
            <v>-72108.75</v>
          </cell>
          <cell r="AI50">
            <v>721087.5</v>
          </cell>
          <cell r="AN50">
            <v>721087.5</v>
          </cell>
          <cell r="AO50">
            <v>721100</v>
          </cell>
          <cell r="AP50">
            <v>721087.5</v>
          </cell>
          <cell r="AQ50">
            <v>72108.75</v>
          </cell>
          <cell r="AR50">
            <v>10000</v>
          </cell>
          <cell r="AS50">
            <v>62108.75</v>
          </cell>
          <cell r="AT50">
            <v>648978.75</v>
          </cell>
          <cell r="AU50">
            <v>4431.5817975069294</v>
          </cell>
          <cell r="AV50">
            <v>346.35950365965232</v>
          </cell>
          <cell r="AW50">
            <v>210.31718750000002</v>
          </cell>
          <cell r="AX50">
            <v>4988.2584886665818</v>
          </cell>
          <cell r="AY50" t="e">
            <v>#REF!</v>
          </cell>
          <cell r="BF50" t="str">
            <v>PCV</v>
          </cell>
          <cell r="BG50" t="str">
            <v>Antonio Meneses Hernandez</v>
          </cell>
          <cell r="BH50" t="str">
            <v>Antonio Rada</v>
          </cell>
          <cell r="BL50" t="str">
            <v>PBX</v>
          </cell>
          <cell r="BN50">
            <v>1</v>
          </cell>
          <cell r="BO50">
            <v>721100</v>
          </cell>
          <cell r="BP50">
            <v>12.5</v>
          </cell>
        </row>
        <row r="51">
          <cell r="B51">
            <v>318</v>
          </cell>
          <cell r="C51" t="str">
            <v>A1</v>
          </cell>
          <cell r="D51">
            <v>35.85</v>
          </cell>
          <cell r="E51">
            <v>1</v>
          </cell>
          <cell r="G51">
            <v>1.58</v>
          </cell>
          <cell r="H51">
            <v>1</v>
          </cell>
          <cell r="L51" t="str">
            <v>IGUAL</v>
          </cell>
          <cell r="M51" t="str">
            <v>S-5_340</v>
          </cell>
          <cell r="N51" t="str">
            <v>S5_340</v>
          </cell>
          <cell r="O51" t="str">
            <v>S5_241</v>
          </cell>
          <cell r="P51" t="str">
            <v>MISMO SÓTANO</v>
          </cell>
          <cell r="Q51">
            <v>13368.75</v>
          </cell>
          <cell r="R51">
            <v>609427.19149999996</v>
          </cell>
          <cell r="S51">
            <v>666103.92030949995</v>
          </cell>
          <cell r="T51">
            <v>609515.09606587375</v>
          </cell>
          <cell r="U51">
            <v>666200</v>
          </cell>
          <cell r="V51">
            <v>36700</v>
          </cell>
          <cell r="W51">
            <v>702900</v>
          </cell>
          <cell r="X51">
            <v>17572.5</v>
          </cell>
          <cell r="AA51">
            <v>720472.5</v>
          </cell>
          <cell r="AC51">
            <v>720472.5</v>
          </cell>
          <cell r="AF51">
            <v>720472.5</v>
          </cell>
          <cell r="AH51">
            <v>0</v>
          </cell>
          <cell r="AI51">
            <v>720472.5</v>
          </cell>
          <cell r="AN51">
            <v>720472.5</v>
          </cell>
          <cell r="AO51">
            <v>720500</v>
          </cell>
          <cell r="AP51">
            <v>720472.5</v>
          </cell>
          <cell r="AQ51">
            <v>72047.25</v>
          </cell>
          <cell r="AR51">
            <v>10000</v>
          </cell>
          <cell r="AS51">
            <v>62047.25</v>
          </cell>
          <cell r="AT51">
            <v>648425.25</v>
          </cell>
          <cell r="AU51">
            <v>4427.8021968267531</v>
          </cell>
          <cell r="AV51">
            <v>346.06410109789567</v>
          </cell>
          <cell r="AW51">
            <v>210.1378125</v>
          </cell>
          <cell r="AX51">
            <v>4984.0041104246493</v>
          </cell>
          <cell r="AY51" t="e">
            <v>#REF!</v>
          </cell>
          <cell r="BF51" t="str">
            <v>PCV</v>
          </cell>
          <cell r="BG51" t="str">
            <v>Jose Reynaldo Linares</v>
          </cell>
          <cell r="BH51" t="str">
            <v>Antonio Rada</v>
          </cell>
          <cell r="BL51">
            <v>1</v>
          </cell>
          <cell r="BN51">
            <v>1</v>
          </cell>
          <cell r="BO51">
            <v>720500</v>
          </cell>
          <cell r="BP51">
            <v>27.5</v>
          </cell>
        </row>
        <row r="52">
          <cell r="B52">
            <v>319</v>
          </cell>
          <cell r="C52" t="str">
            <v>C4</v>
          </cell>
          <cell r="D52">
            <v>54.09</v>
          </cell>
          <cell r="E52">
            <v>2</v>
          </cell>
          <cell r="G52">
            <v>1.39</v>
          </cell>
          <cell r="H52">
            <v>1</v>
          </cell>
          <cell r="L52" t="str">
            <v>IGUAL</v>
          </cell>
          <cell r="M52" t="str">
            <v>S-2_71</v>
          </cell>
          <cell r="N52" t="str">
            <v>S2_71</v>
          </cell>
          <cell r="O52" t="str">
            <v>S2_48</v>
          </cell>
          <cell r="P52" t="str">
            <v>MISMO SÓTANO</v>
          </cell>
          <cell r="Q52">
            <v>13175</v>
          </cell>
          <cell r="R52">
            <v>841571.78200000001</v>
          </cell>
          <cell r="S52">
            <v>919837.95772599999</v>
          </cell>
          <cell r="T52">
            <v>841628.5452881977</v>
          </cell>
          <cell r="U52">
            <v>919900</v>
          </cell>
          <cell r="V52">
            <v>46000</v>
          </cell>
          <cell r="W52">
            <v>965900</v>
          </cell>
          <cell r="AA52">
            <v>965900</v>
          </cell>
          <cell r="AC52">
            <v>965900</v>
          </cell>
          <cell r="AF52">
            <v>965900</v>
          </cell>
          <cell r="AH52">
            <v>0</v>
          </cell>
          <cell r="AI52">
            <v>965900</v>
          </cell>
          <cell r="AN52">
            <v>965900</v>
          </cell>
          <cell r="AO52">
            <v>965900</v>
          </cell>
          <cell r="AP52">
            <v>965900</v>
          </cell>
          <cell r="AQ52">
            <v>96590</v>
          </cell>
          <cell r="AR52">
            <v>10000</v>
          </cell>
          <cell r="AS52">
            <v>86590</v>
          </cell>
          <cell r="AT52">
            <v>869310</v>
          </cell>
          <cell r="AU52">
            <v>5936.1240601340933</v>
          </cell>
          <cell r="AV52">
            <v>463.95013723696252</v>
          </cell>
          <cell r="AW52">
            <v>281.72083333333336</v>
          </cell>
          <cell r="AX52">
            <v>6681.7950307043893</v>
          </cell>
          <cell r="AY52" t="e">
            <v>#REF!</v>
          </cell>
          <cell r="BF52" t="str">
            <v>PCV</v>
          </cell>
          <cell r="BG52" t="str">
            <v>Aaron Tello Merida</v>
          </cell>
          <cell r="BH52" t="str">
            <v>Antonio Rada</v>
          </cell>
          <cell r="BL52" t="str">
            <v>Pagina Web</v>
          </cell>
          <cell r="BO52">
            <v>965900</v>
          </cell>
          <cell r="BP52">
            <v>0</v>
          </cell>
        </row>
        <row r="53">
          <cell r="B53">
            <v>320</v>
          </cell>
          <cell r="C53" t="str">
            <v>C1</v>
          </cell>
          <cell r="D53">
            <v>55.09</v>
          </cell>
          <cell r="E53">
            <v>2</v>
          </cell>
          <cell r="G53">
            <v>1.35</v>
          </cell>
          <cell r="H53">
            <v>1</v>
          </cell>
          <cell r="L53" t="str">
            <v>IGUAL</v>
          </cell>
          <cell r="M53" t="str">
            <v>S-2_72</v>
          </cell>
          <cell r="N53" t="str">
            <v>S2_72</v>
          </cell>
          <cell r="O53" t="str">
            <v>S2_49</v>
          </cell>
          <cell r="P53" t="str">
            <v>MISMO SÓTANO</v>
          </cell>
          <cell r="Q53">
            <v>13175</v>
          </cell>
          <cell r="R53">
            <v>854489.63</v>
          </cell>
          <cell r="S53">
            <v>933957.16558999999</v>
          </cell>
          <cell r="T53">
            <v>854528.81976212258</v>
          </cell>
          <cell r="U53">
            <v>934000</v>
          </cell>
          <cell r="V53">
            <v>46700</v>
          </cell>
          <cell r="W53">
            <v>980700</v>
          </cell>
          <cell r="AA53">
            <v>980700</v>
          </cell>
          <cell r="AC53">
            <v>980700</v>
          </cell>
          <cell r="AF53">
            <v>980700</v>
          </cell>
          <cell r="AH53">
            <v>0</v>
          </cell>
          <cell r="AI53">
            <v>980700</v>
          </cell>
          <cell r="AN53">
            <v>980700</v>
          </cell>
          <cell r="AO53">
            <v>980700</v>
          </cell>
          <cell r="AP53">
            <v>980700</v>
          </cell>
          <cell r="AQ53">
            <v>98070</v>
          </cell>
          <cell r="AR53">
            <v>10000</v>
          </cell>
          <cell r="AS53">
            <v>88070</v>
          </cell>
          <cell r="AT53">
            <v>882630</v>
          </cell>
          <cell r="AU53">
            <v>6027.0803041448444</v>
          </cell>
          <cell r="AV53">
            <v>471.05901189387009</v>
          </cell>
          <cell r="AW53">
            <v>286.03750000000002</v>
          </cell>
          <cell r="AX53">
            <v>6784.1768160387146</v>
          </cell>
          <cell r="AY53" t="e">
            <v>#REF!</v>
          </cell>
          <cell r="BF53" t="str">
            <v>PCV</v>
          </cell>
          <cell r="BG53" t="str">
            <v>Santiago Taracena Puga</v>
          </cell>
          <cell r="BH53" t="str">
            <v>Antonio Rada</v>
          </cell>
          <cell r="BL53">
            <v>1</v>
          </cell>
          <cell r="BM53">
            <v>1</v>
          </cell>
          <cell r="BN53">
            <v>1</v>
          </cell>
          <cell r="BO53">
            <v>980700</v>
          </cell>
          <cell r="BP53">
            <v>0</v>
          </cell>
        </row>
        <row r="54">
          <cell r="B54">
            <v>401</v>
          </cell>
          <cell r="C54" t="str">
            <v>C3</v>
          </cell>
          <cell r="D54">
            <v>54.27</v>
          </cell>
          <cell r="E54">
            <v>2</v>
          </cell>
          <cell r="F54">
            <v>1</v>
          </cell>
          <cell r="G54">
            <v>1.26</v>
          </cell>
          <cell r="I54">
            <v>1</v>
          </cell>
          <cell r="J54">
            <v>114</v>
          </cell>
          <cell r="K54">
            <v>115</v>
          </cell>
          <cell r="L54" t="str">
            <v>DIFERENTE</v>
          </cell>
          <cell r="M54" t="str">
            <v>S-5_386-387</v>
          </cell>
          <cell r="N54" t="str">
            <v>S5_386-387</v>
          </cell>
          <cell r="O54" t="str">
            <v>S5_278</v>
          </cell>
          <cell r="P54" t="str">
            <v>MISMO SÓTANO</v>
          </cell>
          <cell r="Q54">
            <v>13175</v>
          </cell>
          <cell r="R54">
            <v>1005251.5379999999</v>
          </cell>
          <cell r="S54">
            <v>1098739.9310339999</v>
          </cell>
          <cell r="T54">
            <v>1005306.4958828911</v>
          </cell>
          <cell r="U54">
            <v>1098800</v>
          </cell>
          <cell r="V54">
            <v>55000</v>
          </cell>
          <cell r="W54">
            <v>1153800</v>
          </cell>
          <cell r="AA54">
            <v>1153800</v>
          </cell>
          <cell r="AC54">
            <v>1153800</v>
          </cell>
          <cell r="AF54">
            <v>1153800</v>
          </cell>
          <cell r="AH54">
            <v>0</v>
          </cell>
          <cell r="AI54">
            <v>1153800</v>
          </cell>
          <cell r="AN54">
            <v>1153800</v>
          </cell>
          <cell r="AO54">
            <v>1153800</v>
          </cell>
          <cell r="AP54">
            <v>1153800</v>
          </cell>
          <cell r="AQ54">
            <v>115380</v>
          </cell>
          <cell r="AR54">
            <v>10000</v>
          </cell>
          <cell r="AS54">
            <v>105380</v>
          </cell>
          <cell r="AT54">
            <v>1038420</v>
          </cell>
          <cell r="AU54">
            <v>7090.8996175408602</v>
          </cell>
          <cell r="AV54">
            <v>554.20402561756623</v>
          </cell>
          <cell r="AW54">
            <v>336.52500000000003</v>
          </cell>
          <cell r="AX54">
            <v>7981.6286431584258</v>
          </cell>
          <cell r="AY54" t="e">
            <v>#REF!</v>
          </cell>
          <cell r="BF54" t="str">
            <v>PCV</v>
          </cell>
          <cell r="BG54" t="str">
            <v>Sara Veronica Ortíz de León</v>
          </cell>
          <cell r="BH54" t="str">
            <v>Antonio Rada</v>
          </cell>
          <cell r="BL54" t="str">
            <v>Facebook</v>
          </cell>
          <cell r="BN54">
            <v>1</v>
          </cell>
          <cell r="BO54">
            <v>1153800</v>
          </cell>
          <cell r="BP54">
            <v>0</v>
          </cell>
        </row>
        <row r="55">
          <cell r="B55">
            <v>402</v>
          </cell>
          <cell r="C55" t="str">
            <v>C2</v>
          </cell>
          <cell r="D55">
            <v>54.73</v>
          </cell>
          <cell r="E55">
            <v>2</v>
          </cell>
          <cell r="F55">
            <v>1</v>
          </cell>
          <cell r="G55">
            <v>1.38</v>
          </cell>
          <cell r="I55">
            <v>1</v>
          </cell>
          <cell r="J55">
            <v>128</v>
          </cell>
          <cell r="K55">
            <v>129</v>
          </cell>
          <cell r="L55" t="str">
            <v>DIFERENTE</v>
          </cell>
          <cell r="M55" t="str">
            <v>S-5_414-415</v>
          </cell>
          <cell r="N55" t="str">
            <v>S5_414-415</v>
          </cell>
          <cell r="O55" t="str">
            <v>S5_292</v>
          </cell>
          <cell r="P55" t="str">
            <v>MISMO SÓTANO</v>
          </cell>
          <cell r="Q55">
            <v>13175</v>
          </cell>
          <cell r="R55">
            <v>1012083.4939999999</v>
          </cell>
          <cell r="S55">
            <v>1106207.2589419999</v>
          </cell>
          <cell r="T55">
            <v>1012168.3440073193</v>
          </cell>
          <cell r="U55">
            <v>1106300</v>
          </cell>
          <cell r="V55">
            <v>55400</v>
          </cell>
          <cell r="W55">
            <v>1161700</v>
          </cell>
          <cell r="AA55">
            <v>1161700</v>
          </cell>
          <cell r="AC55">
            <v>1161700</v>
          </cell>
          <cell r="AF55">
            <v>1161700</v>
          </cell>
          <cell r="AH55">
            <v>-10628.550000000047</v>
          </cell>
          <cell r="AI55">
            <v>1151071.45</v>
          </cell>
          <cell r="AN55">
            <v>1151071.45</v>
          </cell>
          <cell r="AO55">
            <v>1151100</v>
          </cell>
          <cell r="AP55">
            <v>1151071.45</v>
          </cell>
          <cell r="AQ55">
            <v>115107.145</v>
          </cell>
          <cell r="AR55">
            <v>10000</v>
          </cell>
          <cell r="AS55">
            <v>105107.145</v>
          </cell>
          <cell r="AT55">
            <v>1035964.3049999999</v>
          </cell>
          <cell r="AU55">
            <v>7074.1307891898105</v>
          </cell>
          <cell r="AV55">
            <v>552.8934229185727</v>
          </cell>
          <cell r="AW55">
            <v>335.72917291666664</v>
          </cell>
          <cell r="AX55">
            <v>7962.7533850250493</v>
          </cell>
          <cell r="AY55" t="e">
            <v>#REF!</v>
          </cell>
          <cell r="BF55" t="str">
            <v>PCV</v>
          </cell>
          <cell r="BG55" t="str">
            <v>Guillermo Cotto</v>
          </cell>
          <cell r="BH55" t="str">
            <v>Antonio Rada</v>
          </cell>
          <cell r="BL55">
            <v>1</v>
          </cell>
          <cell r="BN55">
            <v>1</v>
          </cell>
          <cell r="BO55">
            <v>1161700</v>
          </cell>
          <cell r="BP55">
            <v>0</v>
          </cell>
        </row>
        <row r="56">
          <cell r="B56">
            <v>403</v>
          </cell>
          <cell r="C56" t="str">
            <v>A6</v>
          </cell>
          <cell r="D56">
            <v>35.69</v>
          </cell>
          <cell r="E56">
            <v>1</v>
          </cell>
          <cell r="G56">
            <v>1.49</v>
          </cell>
          <cell r="H56">
            <v>1</v>
          </cell>
          <cell r="L56" t="str">
            <v>IGUAL</v>
          </cell>
          <cell r="M56" t="str">
            <v>S-5_341</v>
          </cell>
          <cell r="N56" t="str">
            <v>S5_341</v>
          </cell>
          <cell r="O56" t="str">
            <v>S5_242</v>
          </cell>
          <cell r="P56" t="str">
            <v>MISMO SÓTANO</v>
          </cell>
          <cell r="Q56">
            <v>13368.75</v>
          </cell>
          <cell r="R56">
            <v>606709.59950000001</v>
          </cell>
          <cell r="S56">
            <v>663133.59225350001</v>
          </cell>
          <cell r="T56">
            <v>606770.35681610252</v>
          </cell>
          <cell r="U56">
            <v>663200</v>
          </cell>
          <cell r="V56">
            <v>36500</v>
          </cell>
          <cell r="W56">
            <v>699700</v>
          </cell>
          <cell r="X56">
            <v>17492.5</v>
          </cell>
          <cell r="AA56">
            <v>717192.5</v>
          </cell>
          <cell r="AC56">
            <v>717192.5</v>
          </cell>
          <cell r="AF56">
            <v>717192.5</v>
          </cell>
          <cell r="AH56">
            <v>-17492.5</v>
          </cell>
          <cell r="AI56">
            <v>699700</v>
          </cell>
          <cell r="AK56">
            <v>10000</v>
          </cell>
          <cell r="AL56">
            <v>266900</v>
          </cell>
          <cell r="AN56">
            <v>976600</v>
          </cell>
          <cell r="AO56">
            <v>976600</v>
          </cell>
          <cell r="AQ56">
            <v>69970</v>
          </cell>
          <cell r="AR56">
            <v>10000</v>
          </cell>
          <cell r="AS56">
            <v>59970</v>
          </cell>
          <cell r="AT56">
            <v>629730</v>
          </cell>
          <cell r="AU56">
            <v>4300.1408063731496</v>
          </cell>
          <cell r="AV56">
            <v>336.08645928636776</v>
          </cell>
          <cell r="AW56">
            <v>204.07916666666668</v>
          </cell>
          <cell r="AX56">
            <v>4840.3064323261842</v>
          </cell>
          <cell r="AY56" t="e">
            <v>#REF!</v>
          </cell>
          <cell r="BF56" t="str">
            <v>Disponible</v>
          </cell>
          <cell r="BO56">
            <v>699700</v>
          </cell>
          <cell r="BP56">
            <v>-17492.5</v>
          </cell>
        </row>
        <row r="57">
          <cell r="B57">
            <v>404</v>
          </cell>
          <cell r="C57" t="str">
            <v>A3</v>
          </cell>
          <cell r="D57">
            <v>35.94</v>
          </cell>
          <cell r="E57">
            <v>1</v>
          </cell>
          <cell r="G57">
            <v>1.49</v>
          </cell>
          <cell r="H57">
            <v>1</v>
          </cell>
          <cell r="L57" t="str">
            <v>IGUAL</v>
          </cell>
          <cell r="M57" t="str">
            <v>S-5_342</v>
          </cell>
          <cell r="N57" t="str">
            <v>S5_342</v>
          </cell>
          <cell r="O57" t="str">
            <v>S5_243</v>
          </cell>
          <cell r="P57" t="str">
            <v>MISMO SÓTANO</v>
          </cell>
          <cell r="Q57">
            <v>13368.75</v>
          </cell>
          <cell r="R57">
            <v>610051.78700000001</v>
          </cell>
          <cell r="S57">
            <v>666786.60319099994</v>
          </cell>
          <cell r="T57">
            <v>610064.04391582799</v>
          </cell>
          <cell r="U57">
            <v>666800</v>
          </cell>
          <cell r="V57">
            <v>36700</v>
          </cell>
          <cell r="W57">
            <v>703500</v>
          </cell>
          <cell r="X57">
            <v>17587.5</v>
          </cell>
          <cell r="AA57">
            <v>721087.5</v>
          </cell>
          <cell r="AC57">
            <v>721087.5</v>
          </cell>
          <cell r="AF57">
            <v>721087.5</v>
          </cell>
          <cell r="AH57">
            <v>12.5</v>
          </cell>
          <cell r="AI57">
            <v>721100</v>
          </cell>
          <cell r="AN57">
            <v>721100</v>
          </cell>
          <cell r="AO57">
            <v>721100</v>
          </cell>
          <cell r="AP57">
            <v>721100</v>
          </cell>
          <cell r="AQ57">
            <v>72110</v>
          </cell>
          <cell r="AR57">
            <v>10000</v>
          </cell>
          <cell r="AS57">
            <v>62110</v>
          </cell>
          <cell r="AT57">
            <v>648990</v>
          </cell>
          <cell r="AU57">
            <v>4431.6586186589657</v>
          </cell>
          <cell r="AV57">
            <v>346.36550777676121</v>
          </cell>
          <cell r="AW57">
            <v>210.32083333333333</v>
          </cell>
          <cell r="AX57">
            <v>4988.3449597690596</v>
          </cell>
          <cell r="AY57" t="e">
            <v>#REF!</v>
          </cell>
          <cell r="BF57" t="str">
            <v>PCV</v>
          </cell>
          <cell r="BG57" t="str">
            <v>Gerson Andre Villatoro Urizar</v>
          </cell>
          <cell r="BH57" t="str">
            <v>Brenda Bucaro</v>
          </cell>
          <cell r="BL57">
            <v>1</v>
          </cell>
          <cell r="BN57">
            <v>1</v>
          </cell>
          <cell r="BO57">
            <v>721100</v>
          </cell>
          <cell r="BP57">
            <v>12.5</v>
          </cell>
        </row>
        <row r="58">
          <cell r="B58">
            <v>405</v>
          </cell>
          <cell r="C58" t="str">
            <v>B7</v>
          </cell>
          <cell r="D58">
            <v>53.1</v>
          </cell>
          <cell r="E58">
            <v>2</v>
          </cell>
          <cell r="G58">
            <v>1.46</v>
          </cell>
          <cell r="H58">
            <v>1</v>
          </cell>
          <cell r="L58" t="str">
            <v>IGUAL</v>
          </cell>
          <cell r="M58" t="str">
            <v>S-2_73</v>
          </cell>
          <cell r="N58" t="str">
            <v>S2_73</v>
          </cell>
          <cell r="O58" t="str">
            <v>S2_50</v>
          </cell>
          <cell r="P58" t="str">
            <v>MISMO SÓTANO</v>
          </cell>
          <cell r="Q58">
            <v>13175</v>
          </cell>
          <cell r="R58">
            <v>828978.54799999995</v>
          </cell>
          <cell r="S58">
            <v>906073.55296399991</v>
          </cell>
          <cell r="T58">
            <v>829002.74473924981</v>
          </cell>
          <cell r="U58">
            <v>906100</v>
          </cell>
          <cell r="V58">
            <v>45400</v>
          </cell>
          <cell r="W58">
            <v>951500</v>
          </cell>
          <cell r="AA58">
            <v>951500</v>
          </cell>
          <cell r="AC58">
            <v>951500</v>
          </cell>
          <cell r="AF58">
            <v>951500</v>
          </cell>
          <cell r="AG58">
            <v>142725</v>
          </cell>
          <cell r="AH58">
            <v>18240.609167719958</v>
          </cell>
          <cell r="AI58">
            <v>1112465.60916772</v>
          </cell>
          <cell r="AJ58">
            <v>77872.592641740412</v>
          </cell>
          <cell r="AK58">
            <v>10000</v>
          </cell>
          <cell r="AM58">
            <v>84900</v>
          </cell>
          <cell r="AN58">
            <v>1115438.2018094603</v>
          </cell>
          <cell r="AO58">
            <v>1115500</v>
          </cell>
          <cell r="AP58">
            <v>1115500</v>
          </cell>
          <cell r="AQ58">
            <v>111246.560916772</v>
          </cell>
          <cell r="AR58">
            <v>10000</v>
          </cell>
          <cell r="AS58">
            <v>101246.560916772</v>
          </cell>
          <cell r="AT58">
            <v>1001219.048250948</v>
          </cell>
          <cell r="AU58">
            <v>6836.8711757451429</v>
          </cell>
          <cell r="AV58">
            <v>534.34990376308599</v>
          </cell>
          <cell r="AW58">
            <v>324.46913600725168</v>
          </cell>
          <cell r="AX58">
            <v>7695.6902155154812</v>
          </cell>
          <cell r="AY58" t="e">
            <v>#REF!</v>
          </cell>
          <cell r="BF58" t="str">
            <v>PCV</v>
          </cell>
          <cell r="BG58" t="str">
            <v>Mario Saul Aragón Zepeda</v>
          </cell>
          <cell r="BH58" t="str">
            <v>Anahi Cisneros</v>
          </cell>
          <cell r="BI58">
            <v>45995</v>
          </cell>
          <cell r="BL58" t="str">
            <v>Meta</v>
          </cell>
          <cell r="BN58">
            <v>1</v>
          </cell>
          <cell r="BO58">
            <v>951500</v>
          </cell>
          <cell r="BP58">
            <v>0</v>
          </cell>
        </row>
        <row r="59">
          <cell r="B59">
            <v>406</v>
          </cell>
          <cell r="C59" t="str">
            <v>B2</v>
          </cell>
          <cell r="D59">
            <v>52.63</v>
          </cell>
          <cell r="E59">
            <v>2</v>
          </cell>
          <cell r="G59">
            <v>1.45</v>
          </cell>
          <cell r="H59">
            <v>1</v>
          </cell>
          <cell r="L59" t="str">
            <v>IGUAL</v>
          </cell>
          <cell r="M59" t="str">
            <v>S-4_265</v>
          </cell>
          <cell r="N59" t="str">
            <v>S4_265</v>
          </cell>
          <cell r="O59" t="str">
            <v>S4_193</v>
          </cell>
          <cell r="P59" t="str">
            <v>MISMO SÓTANO</v>
          </cell>
          <cell r="Q59">
            <v>13175</v>
          </cell>
          <cell r="R59">
            <v>822722.01</v>
          </cell>
          <cell r="S59">
            <v>899235.15692999994</v>
          </cell>
          <cell r="T59">
            <v>822781.33577310154</v>
          </cell>
          <cell r="U59">
            <v>899300</v>
          </cell>
          <cell r="V59">
            <v>45000</v>
          </cell>
          <cell r="W59">
            <v>944300</v>
          </cell>
          <cell r="AA59">
            <v>944300</v>
          </cell>
          <cell r="AC59">
            <v>944300</v>
          </cell>
          <cell r="AF59">
            <v>944300</v>
          </cell>
          <cell r="AG59">
            <v>141645</v>
          </cell>
          <cell r="AH59">
            <v>18102.582487730077</v>
          </cell>
          <cell r="AI59">
            <v>1104047.5824877301</v>
          </cell>
          <cell r="AN59">
            <v>1104047.5824877301</v>
          </cell>
          <cell r="AO59">
            <v>1104100</v>
          </cell>
          <cell r="AP59">
            <v>1104047.58</v>
          </cell>
          <cell r="AQ59">
            <v>110404.75824877301</v>
          </cell>
          <cell r="AR59">
            <v>10000</v>
          </cell>
          <cell r="AS59">
            <v>100404.75824877301</v>
          </cell>
          <cell r="AT59">
            <v>993642.82423895702</v>
          </cell>
          <cell r="AU59">
            <v>6785.1365751509429</v>
          </cell>
          <cell r="AV59">
            <v>530.30647832210263</v>
          </cell>
          <cell r="AW59">
            <v>322.01387822558792</v>
          </cell>
          <cell r="AX59">
            <v>7637.4569316986335</v>
          </cell>
          <cell r="AY59" t="e">
            <v>#REF!</v>
          </cell>
          <cell r="BF59" t="str">
            <v>PCV</v>
          </cell>
          <cell r="BG59" t="str">
            <v>Andrea Hidalgo</v>
          </cell>
          <cell r="BH59" t="str">
            <v>Antonio Rada</v>
          </cell>
          <cell r="BI59">
            <v>45800</v>
          </cell>
          <cell r="BL59" t="str">
            <v>perfilan</v>
          </cell>
          <cell r="BN59">
            <v>1</v>
          </cell>
          <cell r="BO59">
            <v>944300</v>
          </cell>
          <cell r="BP59">
            <v>0</v>
          </cell>
        </row>
        <row r="60">
          <cell r="B60">
            <v>407</v>
          </cell>
          <cell r="C60" t="str">
            <v>B6</v>
          </cell>
          <cell r="D60">
            <v>50.03</v>
          </cell>
          <cell r="E60">
            <v>2</v>
          </cell>
          <cell r="G60">
            <v>1.26</v>
          </cell>
          <cell r="H60">
            <v>1</v>
          </cell>
          <cell r="L60" t="str">
            <v>IGUAL</v>
          </cell>
          <cell r="M60" t="str">
            <v>S-4_266</v>
          </cell>
          <cell r="N60" t="str">
            <v>S4_266</v>
          </cell>
          <cell r="O60" t="str">
            <v>S4_194</v>
          </cell>
          <cell r="P60" t="str">
            <v>MISMO SÓTANO</v>
          </cell>
          <cell r="Q60">
            <v>13175</v>
          </cell>
          <cell r="R60">
            <v>787245.53799999994</v>
          </cell>
          <cell r="S60">
            <v>860459.37303399993</v>
          </cell>
          <cell r="T60">
            <v>787282.70814272645</v>
          </cell>
          <cell r="U60">
            <v>860500</v>
          </cell>
          <cell r="V60">
            <v>43100</v>
          </cell>
          <cell r="W60">
            <v>903600</v>
          </cell>
          <cell r="AA60">
            <v>903600</v>
          </cell>
          <cell r="AC60">
            <v>903600</v>
          </cell>
          <cell r="AF60">
            <v>903600</v>
          </cell>
          <cell r="AG60">
            <v>135540</v>
          </cell>
          <cell r="AH60">
            <v>17322.348338359967</v>
          </cell>
          <cell r="AI60">
            <v>1056462.34833836</v>
          </cell>
          <cell r="AJ60">
            <v>73952.364383685199</v>
          </cell>
          <cell r="AN60">
            <v>1130414.7127220451</v>
          </cell>
          <cell r="AO60">
            <v>1130500</v>
          </cell>
          <cell r="AP60">
            <v>1130414.71</v>
          </cell>
          <cell r="AQ60">
            <v>105646.234833836</v>
          </cell>
          <cell r="AR60">
            <v>10000</v>
          </cell>
          <cell r="AS60">
            <v>95646.234833836003</v>
          </cell>
          <cell r="AT60">
            <v>950816.11350452399</v>
          </cell>
          <cell r="AU60">
            <v>6492.6923745699396</v>
          </cell>
          <cell r="AV60">
            <v>507.44989284321952</v>
          </cell>
          <cell r="AW60">
            <v>308.13485159868833</v>
          </cell>
          <cell r="AX60">
            <v>7308.2771190118474</v>
          </cell>
          <cell r="AY60" t="e">
            <v>#REF!</v>
          </cell>
          <cell r="BF60" t="str">
            <v>PCV</v>
          </cell>
          <cell r="BG60" t="str">
            <v>Alberto Antonio Arrecis Rosales</v>
          </cell>
          <cell r="BH60" t="str">
            <v>Laura Molina</v>
          </cell>
          <cell r="BI60">
            <v>45879</v>
          </cell>
          <cell r="BL60" t="str">
            <v>perfilan</v>
          </cell>
          <cell r="BN60">
            <v>1</v>
          </cell>
          <cell r="BO60">
            <v>903600</v>
          </cell>
          <cell r="BP60">
            <v>0</v>
          </cell>
        </row>
        <row r="61">
          <cell r="B61">
            <v>408</v>
          </cell>
          <cell r="C61" t="str">
            <v>B1</v>
          </cell>
          <cell r="D61">
            <v>48.69</v>
          </cell>
          <cell r="E61">
            <v>2</v>
          </cell>
          <cell r="G61">
            <v>1.26</v>
          </cell>
          <cell r="H61">
            <v>1</v>
          </cell>
          <cell r="L61" t="str">
            <v>IGUAL</v>
          </cell>
          <cell r="M61" t="str">
            <v>S-4_267</v>
          </cell>
          <cell r="N61" t="str">
            <v>S4_267</v>
          </cell>
          <cell r="O61" t="str">
            <v>S4_195</v>
          </cell>
          <cell r="P61" t="str">
            <v>MISMO SÓTANO</v>
          </cell>
          <cell r="Q61">
            <v>13175</v>
          </cell>
          <cell r="R61">
            <v>769591.03799999994</v>
          </cell>
          <cell r="S61">
            <v>841163.00453399995</v>
          </cell>
          <cell r="T61">
            <v>769624.88563586457</v>
          </cell>
          <cell r="U61">
            <v>841200</v>
          </cell>
          <cell r="V61">
            <v>42100</v>
          </cell>
          <cell r="W61">
            <v>883300</v>
          </cell>
          <cell r="AA61">
            <v>883300</v>
          </cell>
          <cell r="AC61">
            <v>883300</v>
          </cell>
          <cell r="AF61">
            <v>883300</v>
          </cell>
          <cell r="AH61">
            <v>0</v>
          </cell>
          <cell r="AI61">
            <v>883300</v>
          </cell>
          <cell r="AN61">
            <v>883300</v>
          </cell>
          <cell r="AO61">
            <v>883300</v>
          </cell>
          <cell r="AP61">
            <v>883300</v>
          </cell>
          <cell r="AQ61">
            <v>88330</v>
          </cell>
          <cell r="AR61">
            <v>10000</v>
          </cell>
          <cell r="AS61">
            <v>78330</v>
          </cell>
          <cell r="AT61">
            <v>794970</v>
          </cell>
          <cell r="AU61">
            <v>5428.4898874794962</v>
          </cell>
          <cell r="AV61">
            <v>424.2749313815188</v>
          </cell>
          <cell r="AW61">
            <v>257.62916666666666</v>
          </cell>
          <cell r="AX61">
            <v>6110.3939855276813</v>
          </cell>
          <cell r="AY61" t="e">
            <v>#REF!</v>
          </cell>
          <cell r="BF61" t="str">
            <v>PCV</v>
          </cell>
          <cell r="BG61" t="str">
            <v>Maria Gabriela Chang</v>
          </cell>
          <cell r="BH61" t="str">
            <v>Antonio Rada</v>
          </cell>
          <cell r="BL61">
            <v>1</v>
          </cell>
          <cell r="BN61">
            <v>1</v>
          </cell>
          <cell r="BO61">
            <v>883300</v>
          </cell>
          <cell r="BP61">
            <v>0</v>
          </cell>
        </row>
        <row r="62">
          <cell r="B62">
            <v>409</v>
          </cell>
          <cell r="C62" t="str">
            <v>D7</v>
          </cell>
          <cell r="D62">
            <v>66.72</v>
          </cell>
          <cell r="E62">
            <v>3</v>
          </cell>
          <cell r="F62">
            <v>1</v>
          </cell>
          <cell r="G62">
            <v>1.61</v>
          </cell>
          <cell r="I62">
            <v>1</v>
          </cell>
          <cell r="J62">
            <v>79</v>
          </cell>
          <cell r="K62">
            <v>81</v>
          </cell>
          <cell r="L62" t="str">
            <v>DIFERENTE</v>
          </cell>
          <cell r="M62" t="str">
            <v>S-4_282-283</v>
          </cell>
          <cell r="N62" t="str">
            <v>S4_282-283</v>
          </cell>
          <cell r="O62" t="str">
            <v>S4_205</v>
          </cell>
          <cell r="P62" t="str">
            <v>MISMO SÓTANO</v>
          </cell>
          <cell r="Q62">
            <v>12710</v>
          </cell>
          <cell r="R62">
            <v>1140505.568</v>
          </cell>
          <cell r="S62">
            <v>1246572.585824</v>
          </cell>
          <cell r="T62">
            <v>1140530.6495882892</v>
          </cell>
          <cell r="U62">
            <v>1246600</v>
          </cell>
          <cell r="V62">
            <v>31200</v>
          </cell>
          <cell r="W62">
            <v>1277800</v>
          </cell>
          <cell r="AA62">
            <v>1277800</v>
          </cell>
          <cell r="AC62">
            <v>1277800</v>
          </cell>
          <cell r="AF62">
            <v>1277800</v>
          </cell>
          <cell r="AG62">
            <v>63890</v>
          </cell>
          <cell r="AH62">
            <v>0</v>
          </cell>
          <cell r="AI62">
            <v>1341690</v>
          </cell>
          <cell r="AN62">
            <v>1341690</v>
          </cell>
          <cell r="AO62">
            <v>1341700</v>
          </cell>
          <cell r="AP62">
            <v>1341690</v>
          </cell>
          <cell r="AQ62">
            <v>134169</v>
          </cell>
          <cell r="AR62">
            <v>10000</v>
          </cell>
          <cell r="AS62">
            <v>124169</v>
          </cell>
          <cell r="AT62">
            <v>1207521</v>
          </cell>
          <cell r="AU62">
            <v>8245.6137180259993</v>
          </cell>
          <cell r="AV62">
            <v>644.45311070448292</v>
          </cell>
          <cell r="AW62">
            <v>391.32625000000002</v>
          </cell>
          <cell r="AX62">
            <v>9281.3930787304816</v>
          </cell>
          <cell r="AY62" t="e">
            <v>#REF!</v>
          </cell>
          <cell r="BF62" t="str">
            <v>PCV</v>
          </cell>
          <cell r="BG62" t="str">
            <v>Rafael Leonidas Tabic Borja</v>
          </cell>
          <cell r="BH62" t="str">
            <v>Antonio Rada</v>
          </cell>
          <cell r="BI62">
            <v>45512</v>
          </cell>
          <cell r="BL62" t="str">
            <v>FB Lead</v>
          </cell>
          <cell r="BN62">
            <v>1</v>
          </cell>
          <cell r="BO62">
            <v>1277800</v>
          </cell>
          <cell r="BP62">
            <v>0</v>
          </cell>
        </row>
        <row r="63">
          <cell r="B63">
            <v>410</v>
          </cell>
          <cell r="C63" t="str">
            <v>A9</v>
          </cell>
          <cell r="D63">
            <v>48.09</v>
          </cell>
          <cell r="E63">
            <v>1</v>
          </cell>
          <cell r="G63">
            <v>1.49</v>
          </cell>
          <cell r="H63">
            <v>1</v>
          </cell>
          <cell r="L63" t="str">
            <v>IGUAL</v>
          </cell>
          <cell r="M63" t="str">
            <v>S-4_268</v>
          </cell>
          <cell r="N63" t="str">
            <v>S4_268</v>
          </cell>
          <cell r="O63" t="str">
            <v>S4_196</v>
          </cell>
          <cell r="P63" t="str">
            <v>MISMO SÓTANO</v>
          </cell>
          <cell r="Q63">
            <v>13368.75</v>
          </cell>
          <cell r="R63">
            <v>772482.09950000001</v>
          </cell>
          <cell r="S63">
            <v>844322.93475350004</v>
          </cell>
          <cell r="T63">
            <v>772552.60750228725</v>
          </cell>
          <cell r="U63">
            <v>844400</v>
          </cell>
          <cell r="V63">
            <v>46500</v>
          </cell>
          <cell r="W63">
            <v>890900</v>
          </cell>
          <cell r="X63">
            <v>22272.5</v>
          </cell>
          <cell r="AA63">
            <v>913172.5</v>
          </cell>
          <cell r="AB63">
            <v>91317.25</v>
          </cell>
          <cell r="AC63">
            <v>1004489.75</v>
          </cell>
          <cell r="AF63">
            <v>1004489.75</v>
          </cell>
          <cell r="AH63">
            <v>16744.732520950027</v>
          </cell>
          <cell r="AI63">
            <v>1021234.48252095</v>
          </cell>
          <cell r="AJ63">
            <v>173609.8620285615</v>
          </cell>
          <cell r="AN63">
            <v>1194844.3445495116</v>
          </cell>
          <cell r="AO63">
            <v>1194900</v>
          </cell>
          <cell r="AP63">
            <v>1194844.3500000001</v>
          </cell>
          <cell r="AQ63">
            <v>102123.44825209501</v>
          </cell>
          <cell r="AR63">
            <v>10000</v>
          </cell>
          <cell r="AS63">
            <v>92123.448252095011</v>
          </cell>
          <cell r="AT63">
            <v>919111.034268855</v>
          </cell>
          <cell r="AU63">
            <v>6276.192755700592</v>
          </cell>
          <cell r="AV63">
            <v>490.52891429414336</v>
          </cell>
          <cell r="AW63">
            <v>297.86005740194378</v>
          </cell>
          <cell r="AX63">
            <v>7064.5817273966795</v>
          </cell>
          <cell r="AY63" t="e">
            <v>#REF!</v>
          </cell>
          <cell r="BF63" t="str">
            <v>PCV</v>
          </cell>
          <cell r="BG63" t="str">
            <v>Josue Ernesto Herrera Aguilar</v>
          </cell>
          <cell r="BH63" t="str">
            <v>Anahi Cisneros</v>
          </cell>
          <cell r="BI63">
            <v>45849</v>
          </cell>
          <cell r="BL63" t="str">
            <v>Facebook</v>
          </cell>
          <cell r="BN63">
            <v>1</v>
          </cell>
          <cell r="BO63">
            <v>913200</v>
          </cell>
          <cell r="BP63">
            <v>27.5</v>
          </cell>
        </row>
        <row r="64">
          <cell r="B64">
            <v>411</v>
          </cell>
          <cell r="C64" t="str">
            <v>C9</v>
          </cell>
          <cell r="D64">
            <v>57.85</v>
          </cell>
          <cell r="E64">
            <v>2</v>
          </cell>
          <cell r="F64">
            <v>1</v>
          </cell>
          <cell r="G64">
            <v>1.49</v>
          </cell>
          <cell r="I64">
            <v>1</v>
          </cell>
          <cell r="J64">
            <v>129</v>
          </cell>
          <cell r="K64">
            <v>130</v>
          </cell>
          <cell r="L64" t="str">
            <v>DIFERENTE</v>
          </cell>
          <cell r="M64" t="str">
            <v>S-5_416-417</v>
          </cell>
          <cell r="N64" t="str">
            <v>S5_416-417</v>
          </cell>
          <cell r="O64" t="str">
            <v>S5_293</v>
          </cell>
          <cell r="P64" t="str">
            <v>MISMO SÓTANO</v>
          </cell>
          <cell r="Q64">
            <v>13175</v>
          </cell>
          <cell r="R64">
            <v>1053896.662</v>
          </cell>
          <cell r="S64">
            <v>1151909.0515660001</v>
          </cell>
          <cell r="T64">
            <v>1053979.8719121683</v>
          </cell>
          <cell r="U64">
            <v>1152000</v>
          </cell>
          <cell r="V64">
            <v>57600</v>
          </cell>
          <cell r="W64">
            <v>1209600</v>
          </cell>
          <cell r="AA64">
            <v>1209600</v>
          </cell>
          <cell r="AC64">
            <v>1209600</v>
          </cell>
          <cell r="AF64">
            <v>1209600</v>
          </cell>
          <cell r="AG64">
            <v>181440</v>
          </cell>
          <cell r="AH64">
            <v>23188.482237810036</v>
          </cell>
          <cell r="AI64">
            <v>1414228.48223781</v>
          </cell>
          <cell r="AJ64">
            <v>98995.993756646712</v>
          </cell>
          <cell r="AK64">
            <v>10000</v>
          </cell>
          <cell r="AM64">
            <v>153000</v>
          </cell>
          <cell r="AN64">
            <v>1370224.4759944568</v>
          </cell>
          <cell r="AO64">
            <v>1370300</v>
          </cell>
          <cell r="AP64">
            <v>1370300</v>
          </cell>
          <cell r="AQ64">
            <v>141422.84822378101</v>
          </cell>
          <cell r="AR64">
            <v>10000</v>
          </cell>
          <cell r="AS64">
            <v>131422.84822378101</v>
          </cell>
          <cell r="AT64">
            <v>1272805.6340140291</v>
          </cell>
          <cell r="AU64">
            <v>8691.4128998227425</v>
          </cell>
          <cell r="AV64">
            <v>679.29547408494989</v>
          </cell>
          <cell r="AW64">
            <v>412.4833073193613</v>
          </cell>
          <cell r="AX64">
            <v>9783.1916812270538</v>
          </cell>
          <cell r="AY64" t="e">
            <v>#REF!</v>
          </cell>
          <cell r="BF64" t="str">
            <v>PCV</v>
          </cell>
          <cell r="BG64" t="str">
            <v>Sonia Gonzalez</v>
          </cell>
          <cell r="BH64" t="str">
            <v>Anahi Cisneros</v>
          </cell>
          <cell r="BI64">
            <v>46004</v>
          </cell>
          <cell r="BN64">
            <v>1</v>
          </cell>
          <cell r="BO64">
            <v>1209600</v>
          </cell>
          <cell r="BP64">
            <v>0</v>
          </cell>
        </row>
        <row r="65">
          <cell r="B65">
            <v>412</v>
          </cell>
          <cell r="C65" t="str">
            <v>C8</v>
          </cell>
          <cell r="D65">
            <v>57.97</v>
          </cell>
          <cell r="E65">
            <v>2</v>
          </cell>
          <cell r="G65">
            <v>1.26</v>
          </cell>
          <cell r="H65">
            <v>1</v>
          </cell>
          <cell r="J65">
            <v>130</v>
          </cell>
          <cell r="L65" t="str">
            <v>DIFERENTE</v>
          </cell>
          <cell r="M65" t="str">
            <v>S-5_418-419</v>
          </cell>
          <cell r="N65" t="str">
            <v>S5_418-419</v>
          </cell>
          <cell r="O65" t="str">
            <v>S2_58</v>
          </cell>
          <cell r="P65" t="str">
            <v>DIFERENTE SÓTANO</v>
          </cell>
          <cell r="Q65">
            <v>13175</v>
          </cell>
          <cell r="R65">
            <v>891855.03799999994</v>
          </cell>
          <cell r="S65">
            <v>974797.55653399986</v>
          </cell>
          <cell r="T65">
            <v>891857.27355901187</v>
          </cell>
          <cell r="U65">
            <v>974800</v>
          </cell>
          <cell r="V65">
            <v>48800</v>
          </cell>
          <cell r="W65">
            <v>1023600</v>
          </cell>
          <cell r="AA65">
            <v>1023600</v>
          </cell>
          <cell r="AC65">
            <v>1023600</v>
          </cell>
          <cell r="AF65">
            <v>1023600</v>
          </cell>
          <cell r="AG65">
            <v>153540</v>
          </cell>
          <cell r="AH65">
            <v>23192.316312249983</v>
          </cell>
          <cell r="AI65">
            <v>1200332.31631225</v>
          </cell>
          <cell r="AJ65">
            <v>84023.2621418575</v>
          </cell>
          <cell r="AK65">
            <v>10000</v>
          </cell>
          <cell r="AM65">
            <v>153000</v>
          </cell>
          <cell r="AN65">
            <v>1141355.5784541075</v>
          </cell>
          <cell r="AO65">
            <v>1141400</v>
          </cell>
          <cell r="AP65">
            <v>1116400</v>
          </cell>
          <cell r="AQ65">
            <v>120033.231631225</v>
          </cell>
          <cell r="AR65">
            <v>10000</v>
          </cell>
          <cell r="AS65">
            <v>110033.231631225</v>
          </cell>
          <cell r="AT65">
            <v>1080299.084681025</v>
          </cell>
          <cell r="AU65">
            <v>7376.8729092221092</v>
          </cell>
          <cell r="AV65">
            <v>576.55486373644214</v>
          </cell>
          <cell r="AW65">
            <v>350.09692559107293</v>
          </cell>
          <cell r="AX65">
            <v>8303.5246985496233</v>
          </cell>
          <cell r="AY65" t="e">
            <v>#REF!</v>
          </cell>
          <cell r="BF65" t="str">
            <v>PCV</v>
          </cell>
          <cell r="BG65" t="str">
            <v>Silvia Rose Mary Monzón Paniagua</v>
          </cell>
          <cell r="BH65" t="str">
            <v>Anahi Cisneros</v>
          </cell>
          <cell r="BI65">
            <v>45971</v>
          </cell>
          <cell r="BL65" t="str">
            <v>Meta</v>
          </cell>
          <cell r="BN65">
            <v>1</v>
          </cell>
          <cell r="BO65">
            <v>1209800</v>
          </cell>
          <cell r="BP65">
            <v>186200</v>
          </cell>
        </row>
        <row r="66">
          <cell r="B66">
            <v>413</v>
          </cell>
          <cell r="C66" t="str">
            <v>B4</v>
          </cell>
          <cell r="D66">
            <v>49.77</v>
          </cell>
          <cell r="E66">
            <v>2</v>
          </cell>
          <cell r="G66">
            <v>1.49</v>
          </cell>
          <cell r="H66">
            <v>1</v>
          </cell>
          <cell r="L66" t="str">
            <v>IGUAL</v>
          </cell>
          <cell r="M66" t="str">
            <v>S-3_135</v>
          </cell>
          <cell r="N66" t="str">
            <v>S3_135</v>
          </cell>
          <cell r="O66" t="str">
            <v>S3_91</v>
          </cell>
          <cell r="P66" t="str">
            <v>MISMO SÓTANO</v>
          </cell>
          <cell r="Q66">
            <v>13175</v>
          </cell>
          <cell r="R66">
            <v>785298.66200000001</v>
          </cell>
          <cell r="S66">
            <v>858331.43756600004</v>
          </cell>
          <cell r="T66">
            <v>785361.39066788659</v>
          </cell>
          <cell r="U66">
            <v>858400</v>
          </cell>
          <cell r="V66">
            <v>43000</v>
          </cell>
          <cell r="W66">
            <v>901400</v>
          </cell>
          <cell r="AA66">
            <v>901400</v>
          </cell>
          <cell r="AC66">
            <v>901400</v>
          </cell>
          <cell r="AF66">
            <v>901400</v>
          </cell>
          <cell r="AG66">
            <v>144224</v>
          </cell>
          <cell r="AH66">
            <v>17430.435897910036</v>
          </cell>
          <cell r="AI66">
            <v>1063054.43589791</v>
          </cell>
          <cell r="AN66">
            <v>1063054.43589791</v>
          </cell>
          <cell r="AO66">
            <v>1063100</v>
          </cell>
          <cell r="AP66">
            <v>1063054.44</v>
          </cell>
          <cell r="AQ66">
            <v>106305.44358979102</v>
          </cell>
          <cell r="AR66">
            <v>10000</v>
          </cell>
          <cell r="AS66">
            <v>96305.443589791015</v>
          </cell>
          <cell r="AT66">
            <v>956748.99230811908</v>
          </cell>
          <cell r="AU66">
            <v>6533.2053154217419</v>
          </cell>
          <cell r="AV66">
            <v>510.61626609917903</v>
          </cell>
          <cell r="AW66">
            <v>310.05754380355711</v>
          </cell>
          <cell r="AX66">
            <v>7353.8791253244781</v>
          </cell>
          <cell r="AY66" t="e">
            <v>#REF!</v>
          </cell>
          <cell r="BF66" t="str">
            <v>PCV</v>
          </cell>
          <cell r="BG66" t="str">
            <v>Cindy Carolina Toscano Merida</v>
          </cell>
          <cell r="BH66" t="str">
            <v>Sofia Paredes</v>
          </cell>
          <cell r="BI66">
            <v>45688</v>
          </cell>
          <cell r="BL66" t="str">
            <v>FB Lead</v>
          </cell>
          <cell r="BN66">
            <v>1</v>
          </cell>
          <cell r="BO66">
            <v>901400</v>
          </cell>
          <cell r="BP66">
            <v>0</v>
          </cell>
        </row>
        <row r="67">
          <cell r="B67">
            <v>414</v>
          </cell>
          <cell r="C67" t="str">
            <v>B3</v>
          </cell>
          <cell r="D67">
            <v>48.96</v>
          </cell>
          <cell r="E67">
            <v>2</v>
          </cell>
          <cell r="G67">
            <v>1.26</v>
          </cell>
          <cell r="H67">
            <v>1</v>
          </cell>
          <cell r="L67" t="str">
            <v>IGUAL</v>
          </cell>
          <cell r="M67" t="str">
            <v>S-3_136</v>
          </cell>
          <cell r="N67" t="str">
            <v>S3_136</v>
          </cell>
          <cell r="O67" t="str">
            <v>S3_92</v>
          </cell>
          <cell r="P67" t="str">
            <v>MISMO SÓTANO</v>
          </cell>
          <cell r="Q67">
            <v>13175</v>
          </cell>
          <cell r="R67">
            <v>773148.28799999994</v>
          </cell>
          <cell r="S67">
            <v>845051.0787839999</v>
          </cell>
          <cell r="T67">
            <v>773193.04666056728</v>
          </cell>
          <cell r="U67">
            <v>845100</v>
          </cell>
          <cell r="V67">
            <v>42300</v>
          </cell>
          <cell r="W67">
            <v>887400</v>
          </cell>
          <cell r="AA67">
            <v>887400</v>
          </cell>
          <cell r="AC67">
            <v>887400</v>
          </cell>
          <cell r="AF67">
            <v>887400</v>
          </cell>
          <cell r="AH67">
            <v>0</v>
          </cell>
          <cell r="AI67">
            <v>887400</v>
          </cell>
          <cell r="AN67">
            <v>887400</v>
          </cell>
          <cell r="AO67">
            <v>887400</v>
          </cell>
          <cell r="AP67">
            <v>887400</v>
          </cell>
          <cell r="AQ67">
            <v>88740</v>
          </cell>
          <cell r="AR67">
            <v>10000</v>
          </cell>
          <cell r="AS67">
            <v>78740</v>
          </cell>
          <cell r="AT67">
            <v>798660</v>
          </cell>
          <cell r="AU67">
            <v>5453.6872253473384</v>
          </cell>
          <cell r="AV67">
            <v>426.24428179322962</v>
          </cell>
          <cell r="AW67">
            <v>258.82499999999999</v>
          </cell>
          <cell r="AX67">
            <v>6138.7565071405679</v>
          </cell>
          <cell r="AY67" t="e">
            <v>#REF!</v>
          </cell>
          <cell r="BF67" t="str">
            <v>PCV</v>
          </cell>
          <cell r="BG67" t="str">
            <v>Carolina Rivas Le Sage</v>
          </cell>
          <cell r="BH67" t="str">
            <v>Antonio Rada</v>
          </cell>
          <cell r="BL67">
            <v>1</v>
          </cell>
          <cell r="BN67">
            <v>1</v>
          </cell>
          <cell r="BO67">
            <v>887400</v>
          </cell>
          <cell r="BP67">
            <v>0</v>
          </cell>
        </row>
        <row r="68">
          <cell r="B68">
            <v>415</v>
          </cell>
          <cell r="C68" t="str">
            <v>E1</v>
          </cell>
          <cell r="D68">
            <v>74.8</v>
          </cell>
          <cell r="E68">
            <v>3</v>
          </cell>
          <cell r="F68">
            <v>1</v>
          </cell>
          <cell r="G68">
            <v>1.26</v>
          </cell>
          <cell r="I68">
            <v>1</v>
          </cell>
          <cell r="J68">
            <v>35</v>
          </cell>
          <cell r="K68">
            <v>40</v>
          </cell>
          <cell r="L68" t="str">
            <v>DIFERENTE</v>
          </cell>
          <cell r="M68" t="str">
            <v>S-2_115-116</v>
          </cell>
          <cell r="N68" t="str">
            <v>S2_115-116</v>
          </cell>
          <cell r="O68" t="str">
            <v>S2_78</v>
          </cell>
          <cell r="P68" t="str">
            <v>MISMO SÓTANO</v>
          </cell>
          <cell r="Q68">
            <v>12710</v>
          </cell>
          <cell r="R68">
            <v>1240952.2879999999</v>
          </cell>
          <cell r="S68">
            <v>1356360.850784</v>
          </cell>
          <cell r="T68">
            <v>1240988.1061299178</v>
          </cell>
          <cell r="U68">
            <v>1356400</v>
          </cell>
          <cell r="V68">
            <v>34000</v>
          </cell>
          <cell r="W68">
            <v>1390400</v>
          </cell>
          <cell r="AA68">
            <v>1390400</v>
          </cell>
          <cell r="AC68">
            <v>1390400</v>
          </cell>
          <cell r="AD68">
            <v>55616</v>
          </cell>
          <cell r="AF68">
            <v>1446016</v>
          </cell>
          <cell r="AG68">
            <v>72300.800000000003</v>
          </cell>
          <cell r="AH68">
            <v>25310.172351740068</v>
          </cell>
          <cell r="AI68">
            <v>1543626.9723517401</v>
          </cell>
          <cell r="AJ68">
            <v>61745.078894069607</v>
          </cell>
          <cell r="AN68">
            <v>1605372.0512458098</v>
          </cell>
          <cell r="AO68">
            <v>1605400</v>
          </cell>
          <cell r="AP68">
            <v>1543626.97</v>
          </cell>
          <cell r="AQ68">
            <v>154362.69723517401</v>
          </cell>
          <cell r="AR68">
            <v>10000</v>
          </cell>
          <cell r="AS68">
            <v>144362.69723517401</v>
          </cell>
          <cell r="AT68">
            <v>1389264.2751165661</v>
          </cell>
          <cell r="AU68">
            <v>9486.6561864055384</v>
          </cell>
          <cell r="AV68">
            <v>741.44936915339758</v>
          </cell>
          <cell r="AW68">
            <v>450.22453360259084</v>
          </cell>
          <cell r="AX68">
            <v>10678.330089161527</v>
          </cell>
          <cell r="AY68" t="e">
            <v>#REF!</v>
          </cell>
          <cell r="BF68" t="str">
            <v>PCV</v>
          </cell>
          <cell r="BG68" t="str">
            <v>Kevin Mario Andres Leal Morales</v>
          </cell>
          <cell r="BH68" t="str">
            <v>Anahi Cisneros</v>
          </cell>
          <cell r="BI68">
            <v>45817</v>
          </cell>
          <cell r="BL68" t="str">
            <v>WhatsApp/ Perfilan</v>
          </cell>
          <cell r="BN68">
            <v>1</v>
          </cell>
          <cell r="BO68">
            <v>1390400</v>
          </cell>
          <cell r="BP68">
            <v>0</v>
          </cell>
        </row>
        <row r="69">
          <cell r="B69">
            <v>416</v>
          </cell>
          <cell r="C69" t="str">
            <v>A4</v>
          </cell>
          <cell r="D69">
            <v>35.549999999999997</v>
          </cell>
          <cell r="E69">
            <v>1</v>
          </cell>
          <cell r="G69">
            <v>1.49</v>
          </cell>
          <cell r="H69">
            <v>1</v>
          </cell>
          <cell r="L69" t="str">
            <v>IGUAL</v>
          </cell>
          <cell r="M69" t="str">
            <v>S-5_343</v>
          </cell>
          <cell r="N69" t="str">
            <v>S5_343</v>
          </cell>
          <cell r="O69" t="str">
            <v>S5_244</v>
          </cell>
          <cell r="P69" t="str">
            <v>MISMO SÓTANO</v>
          </cell>
          <cell r="Q69">
            <v>13368.75</v>
          </cell>
          <cell r="R69">
            <v>604837.97450000001</v>
          </cell>
          <cell r="S69">
            <v>661087.90612850001</v>
          </cell>
          <cell r="T69">
            <v>604849.03934126254</v>
          </cell>
          <cell r="U69">
            <v>661100</v>
          </cell>
          <cell r="V69">
            <v>36400</v>
          </cell>
          <cell r="W69">
            <v>697500</v>
          </cell>
          <cell r="X69">
            <v>17437.5</v>
          </cell>
          <cell r="AA69">
            <v>714937.5</v>
          </cell>
          <cell r="AB69">
            <v>71493.75</v>
          </cell>
          <cell r="AC69">
            <v>786413.25</v>
          </cell>
          <cell r="AF69">
            <v>786413.25</v>
          </cell>
          <cell r="AH69">
            <v>11917.928686373984</v>
          </cell>
          <cell r="AI69">
            <v>798331.17868637398</v>
          </cell>
          <cell r="AN69">
            <v>798331.17868637398</v>
          </cell>
          <cell r="AO69">
            <v>798400</v>
          </cell>
          <cell r="AP69">
            <v>798331.18</v>
          </cell>
          <cell r="AQ69">
            <v>79833.117868637404</v>
          </cell>
          <cell r="AR69">
            <v>10000</v>
          </cell>
          <cell r="AS69">
            <v>69833.117868637404</v>
          </cell>
          <cell r="AT69">
            <v>718498.06081773655</v>
          </cell>
          <cell r="AU69">
            <v>4906.2976682424624</v>
          </cell>
          <cell r="AV69">
            <v>383.46191107991422</v>
          </cell>
          <cell r="AW69">
            <v>232.84659378352578</v>
          </cell>
          <cell r="AX69">
            <v>5522.6061731059017</v>
          </cell>
          <cell r="AY69" t="e">
            <v>#REF!</v>
          </cell>
          <cell r="BF69" t="str">
            <v>PCV</v>
          </cell>
          <cell r="BG69" t="str">
            <v>Carlos Rivera</v>
          </cell>
          <cell r="BH69" t="str">
            <v>Sofia Paredes</v>
          </cell>
          <cell r="BI69">
            <v>45695</v>
          </cell>
          <cell r="BL69" t="str">
            <v>FB Lead</v>
          </cell>
          <cell r="BN69">
            <v>1</v>
          </cell>
          <cell r="BO69">
            <v>715000</v>
          </cell>
          <cell r="BP69">
            <v>62.5</v>
          </cell>
        </row>
        <row r="70">
          <cell r="B70">
            <v>417</v>
          </cell>
          <cell r="C70" t="str">
            <v>A8</v>
          </cell>
          <cell r="D70">
            <v>35.94</v>
          </cell>
          <cell r="E70">
            <v>1</v>
          </cell>
          <cell r="G70">
            <v>1.49</v>
          </cell>
          <cell r="H70">
            <v>1</v>
          </cell>
          <cell r="L70" t="str">
            <v>IGUAL</v>
          </cell>
          <cell r="M70" t="str">
            <v>S-5_344</v>
          </cell>
          <cell r="N70" t="str">
            <v>S5_344</v>
          </cell>
          <cell r="O70" t="str">
            <v>S5_245</v>
          </cell>
          <cell r="P70" t="str">
            <v>MISMO SÓTANO</v>
          </cell>
          <cell r="Q70">
            <v>13368.75</v>
          </cell>
          <cell r="R70">
            <v>610051.78700000001</v>
          </cell>
          <cell r="S70">
            <v>666786.60319099994</v>
          </cell>
          <cell r="T70">
            <v>610064.04391582799</v>
          </cell>
          <cell r="U70">
            <v>666800</v>
          </cell>
          <cell r="V70">
            <v>36700</v>
          </cell>
          <cell r="W70">
            <v>703500</v>
          </cell>
          <cell r="X70">
            <v>17587.5</v>
          </cell>
          <cell r="AA70">
            <v>721087.5</v>
          </cell>
          <cell r="AC70">
            <v>721087.5</v>
          </cell>
          <cell r="AF70">
            <v>721087.5</v>
          </cell>
          <cell r="AH70">
            <v>0</v>
          </cell>
          <cell r="AI70">
            <v>721087.5</v>
          </cell>
          <cell r="AN70">
            <v>721087.5</v>
          </cell>
          <cell r="AO70">
            <v>721100</v>
          </cell>
          <cell r="AP70">
            <v>721087.5</v>
          </cell>
          <cell r="AQ70">
            <v>72108.75</v>
          </cell>
          <cell r="AR70">
            <v>10000</v>
          </cell>
          <cell r="AS70">
            <v>62108.75</v>
          </cell>
          <cell r="AT70">
            <v>648978.75</v>
          </cell>
          <cell r="AU70">
            <v>4431.5817975069294</v>
          </cell>
          <cell r="AV70">
            <v>346.35950365965232</v>
          </cell>
          <cell r="AW70">
            <v>210.31718750000002</v>
          </cell>
          <cell r="AX70">
            <v>4988.2584886665818</v>
          </cell>
          <cell r="AY70" t="e">
            <v>#REF!</v>
          </cell>
          <cell r="BF70" t="str">
            <v>PCV</v>
          </cell>
          <cell r="BG70" t="str">
            <v>Miguel Angel Flores Linares</v>
          </cell>
          <cell r="BH70" t="str">
            <v>Antonio Rada</v>
          </cell>
          <cell r="BL70">
            <v>1</v>
          </cell>
          <cell r="BN70">
            <v>1</v>
          </cell>
          <cell r="BO70">
            <v>721100</v>
          </cell>
          <cell r="BP70">
            <v>12.5</v>
          </cell>
        </row>
        <row r="71">
          <cell r="B71">
            <v>418</v>
          </cell>
          <cell r="C71" t="str">
            <v>A1</v>
          </cell>
          <cell r="D71">
            <v>35.85</v>
          </cell>
          <cell r="E71">
            <v>1</v>
          </cell>
          <cell r="G71">
            <v>1.58</v>
          </cell>
          <cell r="H71">
            <v>1</v>
          </cell>
          <cell r="L71" t="str">
            <v>IGUAL</v>
          </cell>
          <cell r="M71" t="str">
            <v>S-5_345</v>
          </cell>
          <cell r="N71" t="str">
            <v>S5_345</v>
          </cell>
          <cell r="O71" t="str">
            <v>S5_246</v>
          </cell>
          <cell r="P71" t="str">
            <v>MISMO SÓTANO</v>
          </cell>
          <cell r="Q71">
            <v>13368.75</v>
          </cell>
          <cell r="R71">
            <v>609427.19149999996</v>
          </cell>
          <cell r="S71">
            <v>666103.92030949995</v>
          </cell>
          <cell r="T71">
            <v>609515.09606587375</v>
          </cell>
          <cell r="U71">
            <v>666200</v>
          </cell>
          <cell r="V71">
            <v>36700</v>
          </cell>
          <cell r="W71">
            <v>702900</v>
          </cell>
          <cell r="X71">
            <v>17572.5</v>
          </cell>
          <cell r="AA71">
            <v>720472.5</v>
          </cell>
          <cell r="AC71">
            <v>720472.5</v>
          </cell>
          <cell r="AF71">
            <v>720472.5</v>
          </cell>
          <cell r="AH71">
            <v>0</v>
          </cell>
          <cell r="AI71">
            <v>720472.5</v>
          </cell>
          <cell r="AN71">
            <v>720472.5</v>
          </cell>
          <cell r="AO71">
            <v>720500</v>
          </cell>
          <cell r="AP71">
            <v>750472.5</v>
          </cell>
          <cell r="AQ71">
            <v>72047.25</v>
          </cell>
          <cell r="AR71">
            <v>10000</v>
          </cell>
          <cell r="AS71">
            <v>62047.25</v>
          </cell>
          <cell r="AT71">
            <v>648425.25</v>
          </cell>
          <cell r="AU71">
            <v>4427.8021968267531</v>
          </cell>
          <cell r="AV71">
            <v>346.06410109789567</v>
          </cell>
          <cell r="AW71">
            <v>210.1378125</v>
          </cell>
          <cell r="AX71">
            <v>4984.0041104246493</v>
          </cell>
          <cell r="AY71" t="e">
            <v>#REF!</v>
          </cell>
          <cell r="BF71" t="str">
            <v>PCV</v>
          </cell>
          <cell r="BG71" t="str">
            <v>Antonio Vicente  Tzep Tahay</v>
          </cell>
          <cell r="BH71" t="str">
            <v>Antonio Rada</v>
          </cell>
          <cell r="BI71">
            <v>45785</v>
          </cell>
          <cell r="BL71" t="str">
            <v>FB Lead</v>
          </cell>
          <cell r="BN71">
            <v>1</v>
          </cell>
          <cell r="BO71">
            <v>720500</v>
          </cell>
          <cell r="BP71">
            <v>27.5</v>
          </cell>
        </row>
        <row r="72">
          <cell r="B72">
            <v>419</v>
          </cell>
          <cell r="C72" t="str">
            <v>C4</v>
          </cell>
          <cell r="D72">
            <v>54.09</v>
          </cell>
          <cell r="E72">
            <v>2</v>
          </cell>
          <cell r="G72">
            <v>1.39</v>
          </cell>
          <cell r="H72">
            <v>1</v>
          </cell>
          <cell r="L72" t="str">
            <v>IGUAL</v>
          </cell>
          <cell r="M72" t="str">
            <v>S-2_74</v>
          </cell>
          <cell r="N72" t="str">
            <v>S2_74</v>
          </cell>
          <cell r="O72" t="str">
            <v>S2_51</v>
          </cell>
          <cell r="P72" t="str">
            <v>MISMO SÓTANO</v>
          </cell>
          <cell r="Q72">
            <v>13175</v>
          </cell>
          <cell r="R72">
            <v>841571.78200000001</v>
          </cell>
          <cell r="S72">
            <v>919837.95772599999</v>
          </cell>
          <cell r="T72">
            <v>841628.5452881977</v>
          </cell>
          <cell r="U72">
            <v>919900</v>
          </cell>
          <cell r="V72">
            <v>46000</v>
          </cell>
          <cell r="W72">
            <v>965900</v>
          </cell>
          <cell r="AA72">
            <v>965900</v>
          </cell>
          <cell r="AC72">
            <v>965900</v>
          </cell>
          <cell r="AF72">
            <v>965900</v>
          </cell>
          <cell r="AH72">
            <v>0</v>
          </cell>
          <cell r="AI72">
            <v>965900</v>
          </cell>
          <cell r="AN72">
            <v>965900</v>
          </cell>
          <cell r="AO72">
            <v>965900</v>
          </cell>
          <cell r="AP72">
            <v>965900</v>
          </cell>
          <cell r="AQ72">
            <v>96590</v>
          </cell>
          <cell r="AR72">
            <v>10000</v>
          </cell>
          <cell r="AS72">
            <v>86590</v>
          </cell>
          <cell r="AT72">
            <v>869310</v>
          </cell>
          <cell r="AU72">
            <v>5936.1240601340933</v>
          </cell>
          <cell r="AV72">
            <v>463.95013723696252</v>
          </cell>
          <cell r="AW72">
            <v>281.72083333333336</v>
          </cell>
          <cell r="AX72">
            <v>6681.7950307043893</v>
          </cell>
          <cell r="AY72" t="e">
            <v>#REF!</v>
          </cell>
          <cell r="BF72" t="str">
            <v>PCV</v>
          </cell>
          <cell r="BG72" t="str">
            <v>Andrea Elizabeth Ortiz Perez</v>
          </cell>
          <cell r="BH72" t="str">
            <v>Antonio Rada</v>
          </cell>
          <cell r="BL72">
            <v>1</v>
          </cell>
          <cell r="BN72">
            <v>1</v>
          </cell>
          <cell r="BO72">
            <v>965900</v>
          </cell>
          <cell r="BP72">
            <v>0</v>
          </cell>
        </row>
        <row r="73">
          <cell r="B73">
            <v>420</v>
          </cell>
          <cell r="C73" t="str">
            <v>C1</v>
          </cell>
          <cell r="D73">
            <v>55.09</v>
          </cell>
          <cell r="E73">
            <v>2</v>
          </cell>
          <cell r="F73">
            <v>1</v>
          </cell>
          <cell r="G73">
            <v>1.35</v>
          </cell>
          <cell r="I73">
            <v>1</v>
          </cell>
          <cell r="J73">
            <v>131</v>
          </cell>
          <cell r="K73">
            <v>132</v>
          </cell>
          <cell r="L73" t="str">
            <v>DIFERENTE</v>
          </cell>
          <cell r="M73" t="str">
            <v>S-5_420-421</v>
          </cell>
          <cell r="N73" t="str">
            <v>S5_420-421</v>
          </cell>
          <cell r="O73" t="str">
            <v>S5_295</v>
          </cell>
          <cell r="P73" t="str">
            <v>MISMO SÓTANO</v>
          </cell>
          <cell r="Q73">
            <v>13175</v>
          </cell>
          <cell r="R73">
            <v>1016633.63</v>
          </cell>
          <cell r="S73">
            <v>1111180.5575899999</v>
          </cell>
          <cell r="T73">
            <v>1016651.4181152791</v>
          </cell>
          <cell r="U73">
            <v>1111200</v>
          </cell>
          <cell r="V73">
            <v>55600</v>
          </cell>
          <cell r="W73">
            <v>1166800</v>
          </cell>
          <cell r="AA73">
            <v>1166800</v>
          </cell>
          <cell r="AC73">
            <v>1166800</v>
          </cell>
          <cell r="AF73">
            <v>1166800</v>
          </cell>
          <cell r="AG73">
            <v>0</v>
          </cell>
          <cell r="AH73">
            <v>0</v>
          </cell>
          <cell r="AI73">
            <v>1166800</v>
          </cell>
          <cell r="AN73">
            <v>1166800</v>
          </cell>
          <cell r="AO73">
            <v>1166800</v>
          </cell>
          <cell r="AP73">
            <v>1166800</v>
          </cell>
          <cell r="AQ73">
            <v>116680</v>
          </cell>
          <cell r="AR73">
            <v>10000</v>
          </cell>
          <cell r="AS73">
            <v>106680</v>
          </cell>
          <cell r="AT73">
            <v>1050120</v>
          </cell>
          <cell r="AU73">
            <v>7170.7936156584128</v>
          </cell>
          <cell r="AV73">
            <v>560.44830741079591</v>
          </cell>
          <cell r="AW73">
            <v>340.31666666666666</v>
          </cell>
          <cell r="AX73">
            <v>8071.5585897358751</v>
          </cell>
          <cell r="AY73" t="e">
            <v>#REF!</v>
          </cell>
          <cell r="BF73" t="str">
            <v>PCV</v>
          </cell>
          <cell r="BG73" t="str">
            <v>Rodriga Virginia Figueroa Perez</v>
          </cell>
          <cell r="BH73" t="str">
            <v>Antonio Rada</v>
          </cell>
          <cell r="BI73">
            <v>45490</v>
          </cell>
          <cell r="BO73">
            <v>1166800</v>
          </cell>
          <cell r="BP73">
            <v>0</v>
          </cell>
        </row>
        <row r="74">
          <cell r="B74">
            <v>501</v>
          </cell>
          <cell r="C74" t="str">
            <v>E9</v>
          </cell>
          <cell r="D74">
            <v>72.2</v>
          </cell>
          <cell r="E74">
            <v>3</v>
          </cell>
          <cell r="F74">
            <v>1</v>
          </cell>
          <cell r="G74">
            <v>1.26</v>
          </cell>
          <cell r="I74">
            <v>1</v>
          </cell>
          <cell r="J74">
            <v>60</v>
          </cell>
          <cell r="K74">
            <v>63</v>
          </cell>
          <cell r="L74" t="str">
            <v>DIFERENTE</v>
          </cell>
          <cell r="M74" t="str">
            <v>S-3_206-207</v>
          </cell>
          <cell r="N74" t="str">
            <v>S3_206-207</v>
          </cell>
          <cell r="O74" t="str">
            <v>S3_146</v>
          </cell>
          <cell r="P74" t="str">
            <v>MISMO SÓTANO</v>
          </cell>
          <cell r="Q74">
            <v>12710</v>
          </cell>
          <cell r="R74">
            <v>1207906.2879999999</v>
          </cell>
          <cell r="S74">
            <v>1320241.5727839998</v>
          </cell>
          <cell r="T74">
            <v>1207959.7438243367</v>
          </cell>
          <cell r="U74">
            <v>1320300</v>
          </cell>
          <cell r="V74">
            <v>33100</v>
          </cell>
          <cell r="W74">
            <v>1353400</v>
          </cell>
          <cell r="AA74">
            <v>1353400</v>
          </cell>
          <cell r="AC74">
            <v>1353400</v>
          </cell>
          <cell r="AD74">
            <v>54136</v>
          </cell>
          <cell r="AF74">
            <v>1407536</v>
          </cell>
          <cell r="AG74">
            <v>70376.800000000003</v>
          </cell>
          <cell r="AH74">
            <v>24636.642161139986</v>
          </cell>
          <cell r="AI74">
            <v>1502549.44216114</v>
          </cell>
          <cell r="AN74">
            <v>1502549.44216114</v>
          </cell>
          <cell r="AO74">
            <v>1502600</v>
          </cell>
          <cell r="AP74">
            <v>1502549.44</v>
          </cell>
          <cell r="AQ74">
            <v>150254.944216114</v>
          </cell>
          <cell r="AR74">
            <v>10000</v>
          </cell>
          <cell r="AS74">
            <v>140254.944216114</v>
          </cell>
          <cell r="AT74">
            <v>1352294.497945026</v>
          </cell>
          <cell r="AU74">
            <v>9234.2063310423491</v>
          </cell>
          <cell r="AV74">
            <v>721.71862500878171</v>
          </cell>
          <cell r="AW74">
            <v>438.24358729699924</v>
          </cell>
          <cell r="AX74">
            <v>10394.168543348131</v>
          </cell>
          <cell r="AY74" t="e">
            <v>#REF!</v>
          </cell>
          <cell r="BF74" t="str">
            <v>PCV</v>
          </cell>
          <cell r="BG74" t="str">
            <v>Erick Guillermo Ruano Gatica</v>
          </cell>
          <cell r="BH74" t="str">
            <v>Sofia Paredes</v>
          </cell>
          <cell r="BI74">
            <v>45681</v>
          </cell>
          <cell r="BN74">
            <v>1</v>
          </cell>
          <cell r="BO74">
            <v>1353400</v>
          </cell>
          <cell r="BP74">
            <v>0</v>
          </cell>
        </row>
        <row r="75">
          <cell r="B75">
            <v>502</v>
          </cell>
          <cell r="C75" t="str">
            <v>E10</v>
          </cell>
          <cell r="D75">
            <v>72.510000000000005</v>
          </cell>
          <cell r="E75">
            <v>3</v>
          </cell>
          <cell r="F75">
            <v>1</v>
          </cell>
          <cell r="G75">
            <v>3.99</v>
          </cell>
          <cell r="I75">
            <v>1</v>
          </cell>
          <cell r="J75">
            <v>37</v>
          </cell>
          <cell r="K75">
            <v>42</v>
          </cell>
          <cell r="L75" t="str">
            <v>DIFERENTE</v>
          </cell>
          <cell r="M75" t="str">
            <v>S-2_119-120</v>
          </cell>
          <cell r="N75" t="str">
            <v>S2_119-120</v>
          </cell>
          <cell r="O75" t="str">
            <v>S2_80</v>
          </cell>
          <cell r="P75" t="str">
            <v>MISMO SÓTANO</v>
          </cell>
          <cell r="Q75">
            <v>12710</v>
          </cell>
          <cell r="R75">
            <v>1229397.0120000001</v>
          </cell>
          <cell r="S75">
            <v>1343730.9341160001</v>
          </cell>
          <cell r="T75">
            <v>1229460.2012808784</v>
          </cell>
          <cell r="U75">
            <v>1343800</v>
          </cell>
          <cell r="V75">
            <v>33600</v>
          </cell>
          <cell r="W75">
            <v>1377400</v>
          </cell>
          <cell r="AA75">
            <v>1377400</v>
          </cell>
          <cell r="AC75">
            <v>1377400</v>
          </cell>
          <cell r="AD75">
            <v>55096</v>
          </cell>
          <cell r="AF75">
            <v>1432496</v>
          </cell>
          <cell r="AG75">
            <v>71624.800000000003</v>
          </cell>
          <cell r="AH75">
            <v>25073.526609099936</v>
          </cell>
          <cell r="AI75">
            <v>1529194.3266091</v>
          </cell>
          <cell r="AJ75">
            <v>61167.773064364002</v>
          </cell>
          <cell r="AL75">
            <v>25000</v>
          </cell>
          <cell r="AN75">
            <v>1615362.099673464</v>
          </cell>
          <cell r="AO75">
            <v>1615400</v>
          </cell>
          <cell r="AQ75">
            <v>152919.43266091001</v>
          </cell>
          <cell r="AR75">
            <v>10000</v>
          </cell>
          <cell r="AS75">
            <v>142919.43266091001</v>
          </cell>
          <cell r="AT75">
            <v>1376274.8939481899</v>
          </cell>
          <cell r="AU75">
            <v>9397.9575885752474</v>
          </cell>
          <cell r="AV75">
            <v>734.51694553502045</v>
          </cell>
          <cell r="AW75">
            <v>446.01501192765414</v>
          </cell>
          <cell r="AX75">
            <v>10578.489546037923</v>
          </cell>
          <cell r="AY75" t="e">
            <v>#REF!</v>
          </cell>
          <cell r="BF75" t="str">
            <v>Disponible</v>
          </cell>
          <cell r="BO75">
            <v>1377400</v>
          </cell>
          <cell r="BP75">
            <v>0</v>
          </cell>
        </row>
        <row r="76">
          <cell r="B76">
            <v>503</v>
          </cell>
          <cell r="C76" t="str">
            <v>B4</v>
          </cell>
          <cell r="D76">
            <v>49.77</v>
          </cell>
          <cell r="E76">
            <v>2</v>
          </cell>
          <cell r="G76">
            <v>1.49</v>
          </cell>
          <cell r="H76">
            <v>1</v>
          </cell>
          <cell r="L76" t="str">
            <v>IGUAL</v>
          </cell>
          <cell r="M76" t="str">
            <v>S-3_137</v>
          </cell>
          <cell r="N76" t="str">
            <v>S3_137</v>
          </cell>
          <cell r="O76" t="str">
            <v>S3_93</v>
          </cell>
          <cell r="P76" t="str">
            <v>MISMO SÓTANO</v>
          </cell>
          <cell r="Q76">
            <v>13175</v>
          </cell>
          <cell r="R76">
            <v>785298.66200000001</v>
          </cell>
          <cell r="S76">
            <v>858331.43756600004</v>
          </cell>
          <cell r="T76">
            <v>785361.39066788659</v>
          </cell>
          <cell r="U76">
            <v>858400</v>
          </cell>
          <cell r="V76">
            <v>43000</v>
          </cell>
          <cell r="W76">
            <v>901400</v>
          </cell>
          <cell r="AA76">
            <v>901400</v>
          </cell>
          <cell r="AC76">
            <v>901400</v>
          </cell>
          <cell r="AF76">
            <v>901400</v>
          </cell>
          <cell r="AG76">
            <v>135210</v>
          </cell>
          <cell r="AH76">
            <v>10522</v>
          </cell>
          <cell r="AI76">
            <v>1047132</v>
          </cell>
          <cell r="AN76">
            <v>1047132</v>
          </cell>
          <cell r="AO76">
            <v>1047200</v>
          </cell>
          <cell r="AP76">
            <v>1047132</v>
          </cell>
          <cell r="AQ76">
            <v>104713.20000000001</v>
          </cell>
          <cell r="AR76">
            <v>10000</v>
          </cell>
          <cell r="AS76">
            <v>94713.200000000012</v>
          </cell>
          <cell r="AT76">
            <v>942418.8</v>
          </cell>
          <cell r="AU76">
            <v>6435.3509259098601</v>
          </cell>
          <cell r="AV76">
            <v>502.96825251601098</v>
          </cell>
          <cell r="AW76">
            <v>305.4135</v>
          </cell>
          <cell r="AX76">
            <v>7243.7326784258703</v>
          </cell>
          <cell r="AY76" t="e">
            <v>#REF!</v>
          </cell>
          <cell r="BF76" t="str">
            <v>PCV</v>
          </cell>
          <cell r="BG76" t="str">
            <v>David Eduardo Orellana Rivera</v>
          </cell>
          <cell r="BH76" t="str">
            <v>Antonio Rada</v>
          </cell>
          <cell r="BI76">
            <v>45798</v>
          </cell>
          <cell r="BL76" t="str">
            <v>Whatsapp</v>
          </cell>
          <cell r="BN76">
            <v>1</v>
          </cell>
          <cell r="BO76">
            <v>901400</v>
          </cell>
          <cell r="BP76">
            <v>0</v>
          </cell>
        </row>
        <row r="77">
          <cell r="B77">
            <v>504</v>
          </cell>
          <cell r="C77" t="str">
            <v>B3</v>
          </cell>
          <cell r="D77">
            <v>48.96</v>
          </cell>
          <cell r="E77">
            <v>2</v>
          </cell>
          <cell r="G77">
            <v>1.26</v>
          </cell>
          <cell r="H77">
            <v>1</v>
          </cell>
          <cell r="L77" t="str">
            <v>IGUAL</v>
          </cell>
          <cell r="M77" t="str">
            <v>S-3_138</v>
          </cell>
          <cell r="N77" t="str">
            <v>S3_138</v>
          </cell>
          <cell r="O77" t="str">
            <v>S3_94</v>
          </cell>
          <cell r="P77" t="str">
            <v>MISMO SÓTANO</v>
          </cell>
          <cell r="Q77">
            <v>13175</v>
          </cell>
          <cell r="R77">
            <v>773148.28799999994</v>
          </cell>
          <cell r="S77">
            <v>845051.0787839999</v>
          </cell>
          <cell r="T77">
            <v>773193.04666056728</v>
          </cell>
          <cell r="U77">
            <v>845100</v>
          </cell>
          <cell r="V77">
            <v>42300</v>
          </cell>
          <cell r="W77">
            <v>887400</v>
          </cell>
          <cell r="AA77">
            <v>887400</v>
          </cell>
          <cell r="AC77">
            <v>887400</v>
          </cell>
          <cell r="AF77">
            <v>887400</v>
          </cell>
          <cell r="AH77">
            <v>159732</v>
          </cell>
          <cell r="AI77">
            <v>1047132</v>
          </cell>
          <cell r="AN77">
            <v>1047132</v>
          </cell>
          <cell r="AO77">
            <v>1047200</v>
          </cell>
          <cell r="AP77">
            <v>1047132</v>
          </cell>
          <cell r="AQ77">
            <v>104713.20000000001</v>
          </cell>
          <cell r="AR77">
            <v>10000</v>
          </cell>
          <cell r="AS77">
            <v>94713.200000000012</v>
          </cell>
          <cell r="AT77">
            <v>942418.8</v>
          </cell>
          <cell r="AU77">
            <v>6435.3509259098601</v>
          </cell>
          <cell r="AV77">
            <v>502.96825251601098</v>
          </cell>
          <cell r="AW77">
            <v>305.4135</v>
          </cell>
          <cell r="AX77">
            <v>7243.7326784258703</v>
          </cell>
          <cell r="AY77" t="e">
            <v>#REF!</v>
          </cell>
          <cell r="BF77" t="str">
            <v>PCV</v>
          </cell>
          <cell r="BG77" t="str">
            <v xml:space="preserve">Jaquelyn Andrea España Siliezar </v>
          </cell>
          <cell r="BH77" t="str">
            <v>Antonio Rada</v>
          </cell>
          <cell r="BI77">
            <v>45788</v>
          </cell>
          <cell r="BK77" t="str">
            <v>Referido de un amigo</v>
          </cell>
          <cell r="BN77">
            <v>1</v>
          </cell>
          <cell r="BO77">
            <v>887400</v>
          </cell>
          <cell r="BP77">
            <v>0</v>
          </cell>
        </row>
        <row r="78">
          <cell r="B78">
            <v>505</v>
          </cell>
          <cell r="C78" t="str">
            <v>D9</v>
          </cell>
          <cell r="D78">
            <v>68.91</v>
          </cell>
          <cell r="E78">
            <v>3</v>
          </cell>
          <cell r="F78">
            <v>1</v>
          </cell>
          <cell r="G78">
            <v>1.47</v>
          </cell>
          <cell r="I78">
            <v>1</v>
          </cell>
          <cell r="J78">
            <v>75</v>
          </cell>
          <cell r="K78">
            <v>77</v>
          </cell>
          <cell r="L78" t="str">
            <v>DIFERENTE</v>
          </cell>
          <cell r="M78" t="str">
            <v>S-4_274-275</v>
          </cell>
          <cell r="N78" t="str">
            <v>S4_274-275</v>
          </cell>
          <cell r="O78" t="str">
            <v>S4_201</v>
          </cell>
          <cell r="P78" t="str">
            <v>MISMO SÓTANO</v>
          </cell>
          <cell r="Q78">
            <v>12710</v>
          </cell>
          <cell r="R78">
            <v>1167440.436</v>
          </cell>
          <cell r="S78">
            <v>1276012.3965479999</v>
          </cell>
          <cell r="T78">
            <v>1167520.5855443734</v>
          </cell>
          <cell r="U78">
            <v>1276100</v>
          </cell>
          <cell r="V78">
            <v>32000</v>
          </cell>
          <cell r="W78">
            <v>1308100</v>
          </cell>
          <cell r="AA78">
            <v>1308100</v>
          </cell>
          <cell r="AC78">
            <v>1308100</v>
          </cell>
          <cell r="AF78">
            <v>1399667</v>
          </cell>
          <cell r="AH78">
            <v>0</v>
          </cell>
          <cell r="AI78">
            <v>1399667</v>
          </cell>
          <cell r="AN78">
            <v>1399667</v>
          </cell>
          <cell r="AO78">
            <v>1399700</v>
          </cell>
          <cell r="AP78">
            <v>1399667</v>
          </cell>
          <cell r="AQ78">
            <v>139966.70000000001</v>
          </cell>
          <cell r="AR78">
            <v>10000</v>
          </cell>
          <cell r="AS78">
            <v>129966.70000000001</v>
          </cell>
          <cell r="AT78">
            <v>1259700.3</v>
          </cell>
          <cell r="AU78">
            <v>8601.9225125537905</v>
          </cell>
          <cell r="AV78">
            <v>672.30116651418109</v>
          </cell>
          <cell r="AW78">
            <v>408.23620833333331</v>
          </cell>
          <cell r="AX78">
            <v>9682.4598874013045</v>
          </cell>
          <cell r="AY78" t="e">
            <v>#REF!</v>
          </cell>
          <cell r="BF78" t="str">
            <v>PCV</v>
          </cell>
          <cell r="BG78" t="str">
            <v>Nancy Eugenia Cisneros Sanchez</v>
          </cell>
          <cell r="BH78" t="str">
            <v>Antonio Rada</v>
          </cell>
          <cell r="BI78">
            <v>45502</v>
          </cell>
          <cell r="BO78">
            <v>1308100</v>
          </cell>
          <cell r="BP78">
            <v>0</v>
          </cell>
        </row>
        <row r="79">
          <cell r="B79">
            <v>506</v>
          </cell>
          <cell r="C79" t="str">
            <v>D8</v>
          </cell>
          <cell r="D79">
            <v>69.31</v>
          </cell>
          <cell r="E79">
            <v>3</v>
          </cell>
          <cell r="F79">
            <v>1</v>
          </cell>
          <cell r="G79">
            <v>1.5</v>
          </cell>
          <cell r="I79">
            <v>1</v>
          </cell>
          <cell r="J79">
            <v>74</v>
          </cell>
          <cell r="K79">
            <v>76</v>
          </cell>
          <cell r="L79" t="str">
            <v>DIFERENTE</v>
          </cell>
          <cell r="M79" t="str">
            <v>S-4_272-273</v>
          </cell>
          <cell r="N79" t="str">
            <v>S4_272-273</v>
          </cell>
          <cell r="O79" t="str">
            <v>S4_200</v>
          </cell>
          <cell r="P79" t="str">
            <v>MISMO SÓTANO</v>
          </cell>
          <cell r="Q79">
            <v>12710</v>
          </cell>
          <cell r="R79">
            <v>1172717.2999999998</v>
          </cell>
          <cell r="S79">
            <v>1281780.0088999998</v>
          </cell>
          <cell r="T79">
            <v>1172735.5901189388</v>
          </cell>
          <cell r="U79">
            <v>1281800</v>
          </cell>
          <cell r="V79">
            <v>32100</v>
          </cell>
          <cell r="W79">
            <v>1313900</v>
          </cell>
          <cell r="AA79">
            <v>1313900</v>
          </cell>
          <cell r="AC79">
            <v>1313900</v>
          </cell>
          <cell r="AF79">
            <v>1313900</v>
          </cell>
          <cell r="AG79">
            <v>65695</v>
          </cell>
          <cell r="AH79">
            <v>0</v>
          </cell>
          <cell r="AI79">
            <v>1379595</v>
          </cell>
          <cell r="AN79">
            <v>1379595</v>
          </cell>
          <cell r="AO79">
            <v>1379600</v>
          </cell>
          <cell r="AP79">
            <v>1379595</v>
          </cell>
          <cell r="AQ79">
            <v>137959.5</v>
          </cell>
          <cell r="AR79">
            <v>10000</v>
          </cell>
          <cell r="AS79">
            <v>127959.5</v>
          </cell>
          <cell r="AT79">
            <v>1241635.5</v>
          </cell>
          <cell r="AU79">
            <v>8478.5661794602911</v>
          </cell>
          <cell r="AV79">
            <v>662.65999542543443</v>
          </cell>
          <cell r="AW79">
            <v>402.38187500000004</v>
          </cell>
          <cell r="AX79">
            <v>9543.6080498857264</v>
          </cell>
          <cell r="AY79" t="e">
            <v>#REF!</v>
          </cell>
          <cell r="BF79" t="str">
            <v>PCV</v>
          </cell>
          <cell r="BG79" t="str">
            <v>Carlos Eduardo Miranda Morales</v>
          </cell>
          <cell r="BH79" t="str">
            <v>Diana Alvarez</v>
          </cell>
          <cell r="BI79">
            <v>45570</v>
          </cell>
          <cell r="BL79" t="str">
            <v>PBX</v>
          </cell>
          <cell r="BN79">
            <v>1</v>
          </cell>
          <cell r="BO79">
            <v>1313900</v>
          </cell>
          <cell r="BP79">
            <v>0</v>
          </cell>
        </row>
        <row r="80">
          <cell r="B80">
            <v>507</v>
          </cell>
          <cell r="C80" t="str">
            <v>A12</v>
          </cell>
          <cell r="D80">
            <v>37.17</v>
          </cell>
          <cell r="E80">
            <v>1</v>
          </cell>
          <cell r="G80">
            <v>1.55</v>
          </cell>
          <cell r="H80">
            <v>1</v>
          </cell>
          <cell r="L80" t="str">
            <v>IGUAL</v>
          </cell>
          <cell r="M80" t="str">
            <v>S-5_346</v>
          </cell>
          <cell r="N80" t="str">
            <v>S5_346</v>
          </cell>
          <cell r="O80" t="str">
            <v>S5_247</v>
          </cell>
          <cell r="P80" t="str">
            <v>MISMO SÓTANO</v>
          </cell>
          <cell r="Q80">
            <v>13368.75</v>
          </cell>
          <cell r="R80">
            <v>626881.07750000001</v>
          </cell>
          <cell r="S80">
            <v>685181.01770750002</v>
          </cell>
          <cell r="T80">
            <v>626898.4446477585</v>
          </cell>
          <cell r="U80">
            <v>685200</v>
          </cell>
          <cell r="V80">
            <v>37700</v>
          </cell>
          <cell r="W80">
            <v>722900</v>
          </cell>
          <cell r="X80">
            <v>21687</v>
          </cell>
          <cell r="AA80">
            <v>744587</v>
          </cell>
          <cell r="AC80">
            <v>744587</v>
          </cell>
          <cell r="AF80">
            <v>744587</v>
          </cell>
          <cell r="AH80">
            <v>-21687</v>
          </cell>
          <cell r="AI80">
            <v>722900</v>
          </cell>
          <cell r="AN80">
            <v>722900</v>
          </cell>
          <cell r="AO80">
            <v>722900</v>
          </cell>
          <cell r="AP80">
            <v>722900</v>
          </cell>
          <cell r="AQ80">
            <v>72290</v>
          </cell>
          <cell r="AR80">
            <v>10000</v>
          </cell>
          <cell r="AS80">
            <v>62290</v>
          </cell>
          <cell r="AT80">
            <v>650610</v>
          </cell>
          <cell r="AU80">
            <v>4442.720864552165</v>
          </cell>
          <cell r="AV80">
            <v>347.2301006404391</v>
          </cell>
          <cell r="AW80">
            <v>210.84583333333333</v>
          </cell>
          <cell r="AX80">
            <v>5000.7967985259374</v>
          </cell>
          <cell r="AY80" t="e">
            <v>#REF!</v>
          </cell>
          <cell r="BF80" t="str">
            <v>PCV</v>
          </cell>
          <cell r="BG80" t="str">
            <v>Osmin Otoniel Oliva Cordova</v>
          </cell>
          <cell r="BH80" t="str">
            <v>Antonio Rada</v>
          </cell>
          <cell r="BN80">
            <v>1</v>
          </cell>
          <cell r="BO80">
            <v>722900</v>
          </cell>
          <cell r="BP80">
            <v>-21687</v>
          </cell>
        </row>
        <row r="81">
          <cell r="B81">
            <v>508</v>
          </cell>
          <cell r="C81" t="str">
            <v>C6</v>
          </cell>
          <cell r="D81">
            <v>55</v>
          </cell>
          <cell r="E81">
            <v>2</v>
          </cell>
          <cell r="F81">
            <v>1</v>
          </cell>
          <cell r="G81">
            <v>1.45</v>
          </cell>
          <cell r="I81">
            <v>1</v>
          </cell>
          <cell r="J81">
            <v>132</v>
          </cell>
          <cell r="K81">
            <v>133</v>
          </cell>
          <cell r="L81" t="str">
            <v>DIFERENTE</v>
          </cell>
          <cell r="M81" t="str">
            <v>S-5_422-423</v>
          </cell>
          <cell r="N81" t="str">
            <v>S5_422-423</v>
          </cell>
          <cell r="O81" t="str">
            <v>S5_296</v>
          </cell>
          <cell r="P81" t="str">
            <v>MISMO SÓTANO</v>
          </cell>
          <cell r="Q81">
            <v>13175</v>
          </cell>
          <cell r="R81">
            <v>1016090.76</v>
          </cell>
          <cell r="S81">
            <v>1110587.20068</v>
          </cell>
          <cell r="T81">
            <v>1016102.4702653248</v>
          </cell>
          <cell r="U81">
            <v>1110600</v>
          </cell>
          <cell r="V81">
            <v>55600</v>
          </cell>
          <cell r="W81">
            <v>1166200</v>
          </cell>
          <cell r="X81">
            <v>17493</v>
          </cell>
          <cell r="AA81">
            <v>1183693</v>
          </cell>
          <cell r="AC81">
            <v>1183693</v>
          </cell>
          <cell r="AF81">
            <v>1183693</v>
          </cell>
          <cell r="AH81">
            <v>0</v>
          </cell>
          <cell r="AI81">
            <v>1183693</v>
          </cell>
          <cell r="AN81">
            <v>1183693</v>
          </cell>
          <cell r="AO81">
            <v>1183700</v>
          </cell>
          <cell r="AP81">
            <v>1183693</v>
          </cell>
          <cell r="AQ81">
            <v>118369.3</v>
          </cell>
          <cell r="AR81">
            <v>10000</v>
          </cell>
          <cell r="AS81">
            <v>108369.3</v>
          </cell>
          <cell r="AT81">
            <v>1065323.7</v>
          </cell>
          <cell r="AU81">
            <v>7274.61279336609</v>
          </cell>
          <cell r="AV81">
            <v>568.5625114364135</v>
          </cell>
          <cell r="AW81">
            <v>345.24379166666671</v>
          </cell>
          <cell r="AX81">
            <v>8188.4190964691707</v>
          </cell>
          <cell r="AY81" t="e">
            <v>#REF!</v>
          </cell>
          <cell r="BF81" t="str">
            <v>PCV</v>
          </cell>
          <cell r="BG81" t="str">
            <v>Evelyn Aida Samayoa San Jose</v>
          </cell>
          <cell r="BH81" t="str">
            <v>Antonio Rada</v>
          </cell>
          <cell r="BL81">
            <v>1</v>
          </cell>
          <cell r="BN81">
            <v>1</v>
          </cell>
          <cell r="BO81">
            <v>1183700</v>
          </cell>
          <cell r="BP81">
            <v>7</v>
          </cell>
        </row>
        <row r="82">
          <cell r="B82">
            <v>509</v>
          </cell>
          <cell r="C82" t="str">
            <v>C5</v>
          </cell>
          <cell r="D82">
            <v>54.86</v>
          </cell>
          <cell r="E82">
            <v>2</v>
          </cell>
          <cell r="F82">
            <v>1</v>
          </cell>
          <cell r="G82">
            <v>1.45</v>
          </cell>
          <cell r="I82">
            <v>1</v>
          </cell>
          <cell r="J82">
            <v>133</v>
          </cell>
          <cell r="K82">
            <v>134</v>
          </cell>
          <cell r="L82" t="str">
            <v>DIFERENTE</v>
          </cell>
          <cell r="M82" t="str">
            <v>S-5_424-425</v>
          </cell>
          <cell r="N82" t="str">
            <v>S5_424-425</v>
          </cell>
          <cell r="O82" t="str">
            <v>S5_297</v>
          </cell>
          <cell r="P82" t="str">
            <v>MISMO SÓTANO</v>
          </cell>
          <cell r="Q82">
            <v>13175</v>
          </cell>
          <cell r="R82">
            <v>1014246.26</v>
          </cell>
          <cell r="S82">
            <v>1108571.16218</v>
          </cell>
          <cell r="T82">
            <v>1014272.6440988106</v>
          </cell>
          <cell r="U82">
            <v>1108600</v>
          </cell>
          <cell r="V82">
            <v>55500</v>
          </cell>
          <cell r="W82">
            <v>1164100</v>
          </cell>
          <cell r="X82">
            <v>17461.5</v>
          </cell>
          <cell r="AA82">
            <v>1181561.5</v>
          </cell>
          <cell r="AC82">
            <v>1181561.5</v>
          </cell>
          <cell r="AF82">
            <v>1181561.5</v>
          </cell>
          <cell r="AH82">
            <v>0</v>
          </cell>
          <cell r="AI82">
            <v>1181561.5</v>
          </cell>
          <cell r="AN82">
            <v>1181561.5</v>
          </cell>
          <cell r="AO82">
            <v>1181600</v>
          </cell>
          <cell r="AP82">
            <v>1181561.5</v>
          </cell>
          <cell r="AQ82">
            <v>118156.15000000001</v>
          </cell>
          <cell r="AR82">
            <v>10000</v>
          </cell>
          <cell r="AS82">
            <v>108156.15000000001</v>
          </cell>
          <cell r="AT82">
            <v>1063405.3500000001</v>
          </cell>
          <cell r="AU82">
            <v>7261.513250520894</v>
          </cell>
          <cell r="AV82">
            <v>567.53868938700816</v>
          </cell>
          <cell r="AW82">
            <v>344.6221041666667</v>
          </cell>
          <cell r="AX82">
            <v>8173.6740440745689</v>
          </cell>
          <cell r="AY82" t="e">
            <v>#REF!</v>
          </cell>
          <cell r="BF82" t="str">
            <v>PCV</v>
          </cell>
          <cell r="BG82" t="str">
            <v>Anabella Alburez Aja</v>
          </cell>
          <cell r="BH82" t="str">
            <v>Antonio Rada</v>
          </cell>
          <cell r="BI82">
            <v>45473</v>
          </cell>
          <cell r="BL82">
            <v>1</v>
          </cell>
          <cell r="BN82">
            <v>1</v>
          </cell>
          <cell r="BO82">
            <v>1181600</v>
          </cell>
          <cell r="BP82">
            <v>38.5</v>
          </cell>
        </row>
        <row r="83">
          <cell r="B83">
            <v>510</v>
          </cell>
          <cell r="C83" t="str">
            <v>C6</v>
          </cell>
          <cell r="D83">
            <v>55</v>
          </cell>
          <cell r="E83">
            <v>2</v>
          </cell>
          <cell r="F83">
            <v>1</v>
          </cell>
          <cell r="G83">
            <v>1.45</v>
          </cell>
          <cell r="I83">
            <v>1</v>
          </cell>
          <cell r="J83">
            <v>134</v>
          </cell>
          <cell r="K83">
            <v>135</v>
          </cell>
          <cell r="L83" t="str">
            <v>DIFERENTE</v>
          </cell>
          <cell r="M83" t="str">
            <v>S-5_426-427</v>
          </cell>
          <cell r="N83" t="str">
            <v>S5_426-427</v>
          </cell>
          <cell r="O83" t="str">
            <v>S5_298</v>
          </cell>
          <cell r="P83" t="str">
            <v>MISMO SÓTANO</v>
          </cell>
          <cell r="Q83">
            <v>13175</v>
          </cell>
          <cell r="R83">
            <v>1016090.76</v>
          </cell>
          <cell r="S83">
            <v>1110587.20068</v>
          </cell>
          <cell r="T83">
            <v>1016102.4702653248</v>
          </cell>
          <cell r="U83">
            <v>1110600</v>
          </cell>
          <cell r="V83">
            <v>55600</v>
          </cell>
          <cell r="W83">
            <v>1166200</v>
          </cell>
          <cell r="X83">
            <v>17493</v>
          </cell>
          <cell r="AA83">
            <v>1183693</v>
          </cell>
          <cell r="AC83">
            <v>1183693</v>
          </cell>
          <cell r="AF83">
            <v>1183693</v>
          </cell>
          <cell r="AH83">
            <v>0</v>
          </cell>
          <cell r="AI83">
            <v>1183693</v>
          </cell>
          <cell r="AN83">
            <v>1183693</v>
          </cell>
          <cell r="AO83">
            <v>1183700</v>
          </cell>
          <cell r="AP83">
            <v>1183693</v>
          </cell>
          <cell r="AQ83">
            <v>118369.3</v>
          </cell>
          <cell r="AR83">
            <v>10000</v>
          </cell>
          <cell r="AS83">
            <v>108369.3</v>
          </cell>
          <cell r="AT83">
            <v>1065323.7</v>
          </cell>
          <cell r="AU83">
            <v>7274.61279336609</v>
          </cell>
          <cell r="AV83">
            <v>568.5625114364135</v>
          </cell>
          <cell r="AW83">
            <v>345.24379166666671</v>
          </cell>
          <cell r="AX83">
            <v>8188.4190964691707</v>
          </cell>
          <cell r="AY83" t="e">
            <v>#REF!</v>
          </cell>
          <cell r="BF83" t="str">
            <v>PCV</v>
          </cell>
          <cell r="BG83" t="str">
            <v>Francis Ayleen Funes Castellanos</v>
          </cell>
          <cell r="BH83" t="str">
            <v>Antonio Rada</v>
          </cell>
          <cell r="BL83">
            <v>1</v>
          </cell>
          <cell r="BN83">
            <v>1</v>
          </cell>
          <cell r="BO83">
            <v>1183700</v>
          </cell>
          <cell r="BP83">
            <v>7</v>
          </cell>
        </row>
        <row r="84">
          <cell r="B84">
            <v>511</v>
          </cell>
          <cell r="C84" t="str">
            <v>C5</v>
          </cell>
          <cell r="D84">
            <v>54.86</v>
          </cell>
          <cell r="E84">
            <v>2</v>
          </cell>
          <cell r="F84">
            <v>1</v>
          </cell>
          <cell r="G84">
            <v>1.45</v>
          </cell>
          <cell r="I84">
            <v>1</v>
          </cell>
          <cell r="J84">
            <v>135</v>
          </cell>
          <cell r="K84">
            <v>136</v>
          </cell>
          <cell r="L84" t="str">
            <v>DIFERENTE</v>
          </cell>
          <cell r="M84" t="str">
            <v>S-5_428-429</v>
          </cell>
          <cell r="N84" t="str">
            <v>S5_428-429</v>
          </cell>
          <cell r="O84" t="str">
            <v>S5_299</v>
          </cell>
          <cell r="P84" t="str">
            <v>MISMO SÓTANO</v>
          </cell>
          <cell r="Q84">
            <v>13175</v>
          </cell>
          <cell r="R84">
            <v>1014246.26</v>
          </cell>
          <cell r="S84">
            <v>1108571.16218</v>
          </cell>
          <cell r="T84">
            <v>1014272.6440988106</v>
          </cell>
          <cell r="U84">
            <v>1108600</v>
          </cell>
          <cell r="V84">
            <v>55500</v>
          </cell>
          <cell r="W84">
            <v>1164100</v>
          </cell>
          <cell r="X84">
            <v>17461.5</v>
          </cell>
          <cell r="AA84">
            <v>1181561.5</v>
          </cell>
          <cell r="AC84">
            <v>1181561.5</v>
          </cell>
          <cell r="AF84">
            <v>1181561.5</v>
          </cell>
          <cell r="AH84">
            <v>0</v>
          </cell>
          <cell r="AI84">
            <v>1181561.5</v>
          </cell>
          <cell r="AN84">
            <v>1181561.5</v>
          </cell>
          <cell r="AO84">
            <v>1181600</v>
          </cell>
          <cell r="AP84">
            <v>1181561.5</v>
          </cell>
          <cell r="AQ84">
            <v>118156.15000000001</v>
          </cell>
          <cell r="AR84">
            <v>10000</v>
          </cell>
          <cell r="AS84">
            <v>108156.15000000001</v>
          </cell>
          <cell r="AT84">
            <v>1063405.3500000001</v>
          </cell>
          <cell r="AU84">
            <v>7261.513250520894</v>
          </cell>
          <cell r="AV84">
            <v>567.53868938700816</v>
          </cell>
          <cell r="AW84">
            <v>344.6221041666667</v>
          </cell>
          <cell r="AX84">
            <v>8173.6740440745689</v>
          </cell>
          <cell r="AY84" t="e">
            <v>#REF!</v>
          </cell>
          <cell r="BF84" t="str">
            <v>PCV</v>
          </cell>
          <cell r="BG84" t="str">
            <v>Hugo Leonel Roca Morales</v>
          </cell>
          <cell r="BH84" t="str">
            <v>Antonio Rada</v>
          </cell>
          <cell r="BL84">
            <v>1</v>
          </cell>
          <cell r="BN84">
            <v>1</v>
          </cell>
          <cell r="BO84">
            <v>1181600</v>
          </cell>
          <cell r="BP84">
            <v>38.5</v>
          </cell>
        </row>
        <row r="85">
          <cell r="B85">
            <v>512</v>
          </cell>
          <cell r="C85" t="str">
            <v>A8</v>
          </cell>
          <cell r="D85">
            <v>35.94</v>
          </cell>
          <cell r="E85">
            <v>1</v>
          </cell>
          <cell r="G85">
            <v>1.49</v>
          </cell>
          <cell r="H85">
            <v>1</v>
          </cell>
          <cell r="L85" t="str">
            <v>IGUAL</v>
          </cell>
          <cell r="M85" t="str">
            <v>S-3_161</v>
          </cell>
          <cell r="N85" t="str">
            <v>S3_161</v>
          </cell>
          <cell r="O85" t="str">
            <v>S3_117</v>
          </cell>
          <cell r="P85" t="str">
            <v>MISMO SÓTANO</v>
          </cell>
          <cell r="Q85">
            <v>13368.75</v>
          </cell>
          <cell r="R85">
            <v>610051.78700000001</v>
          </cell>
          <cell r="S85">
            <v>666786.60319099994</v>
          </cell>
          <cell r="T85">
            <v>610064.04391582799</v>
          </cell>
          <cell r="U85">
            <v>666800</v>
          </cell>
          <cell r="V85">
            <v>36700</v>
          </cell>
          <cell r="W85">
            <v>703500</v>
          </cell>
          <cell r="AA85">
            <v>703500</v>
          </cell>
          <cell r="AC85">
            <v>703500</v>
          </cell>
          <cell r="AF85">
            <v>703500</v>
          </cell>
          <cell r="AH85">
            <v>0</v>
          </cell>
          <cell r="AI85">
            <v>703500</v>
          </cell>
          <cell r="AN85">
            <v>703500</v>
          </cell>
          <cell r="AO85">
            <v>703500</v>
          </cell>
          <cell r="AP85">
            <v>703500</v>
          </cell>
          <cell r="AQ85">
            <v>70350</v>
          </cell>
          <cell r="AR85">
            <v>10000</v>
          </cell>
          <cell r="AS85">
            <v>60350</v>
          </cell>
          <cell r="AT85">
            <v>633150</v>
          </cell>
          <cell r="AU85">
            <v>4323.4944365921265</v>
          </cell>
          <cell r="AV85">
            <v>337.91171088746563</v>
          </cell>
          <cell r="AW85">
            <v>205.1875</v>
          </cell>
          <cell r="AX85">
            <v>4866.5936474795917</v>
          </cell>
          <cell r="AY85" t="e">
            <v>#REF!</v>
          </cell>
          <cell r="BF85" t="str">
            <v>PCV</v>
          </cell>
          <cell r="BG85" t="str">
            <v>Oscar A. Gonzalez</v>
          </cell>
          <cell r="BH85" t="str">
            <v>Antonio Rada</v>
          </cell>
          <cell r="BM85">
            <v>1</v>
          </cell>
          <cell r="BN85">
            <v>1</v>
          </cell>
          <cell r="BO85">
            <v>703500</v>
          </cell>
          <cell r="BP85">
            <v>0</v>
          </cell>
        </row>
        <row r="86">
          <cell r="B86">
            <v>513</v>
          </cell>
          <cell r="C86" t="str">
            <v>A2</v>
          </cell>
          <cell r="D86">
            <v>34.9</v>
          </cell>
          <cell r="E86">
            <v>1</v>
          </cell>
          <cell r="G86">
            <v>1.49</v>
          </cell>
          <cell r="H86">
            <v>1</v>
          </cell>
          <cell r="L86" t="str">
            <v>IGUAL</v>
          </cell>
          <cell r="M86" t="str">
            <v>S-5_348</v>
          </cell>
          <cell r="N86" t="str">
            <v>S5_348</v>
          </cell>
          <cell r="O86" t="str">
            <v>S5_249</v>
          </cell>
          <cell r="P86" t="str">
            <v>MISMO SÓTANO</v>
          </cell>
          <cell r="Q86">
            <v>13368.75</v>
          </cell>
          <cell r="R86">
            <v>596148.28700000001</v>
          </cell>
          <cell r="S86">
            <v>651590.07769099995</v>
          </cell>
          <cell r="T86">
            <v>596157.36505032028</v>
          </cell>
          <cell r="U86">
            <v>651600</v>
          </cell>
          <cell r="V86">
            <v>35900</v>
          </cell>
          <cell r="W86">
            <v>687500</v>
          </cell>
          <cell r="AA86">
            <v>687500</v>
          </cell>
          <cell r="AC86">
            <v>687500</v>
          </cell>
          <cell r="AF86">
            <v>687500</v>
          </cell>
          <cell r="AH86">
            <v>0</v>
          </cell>
          <cell r="AI86">
            <v>687500</v>
          </cell>
          <cell r="AN86">
            <v>687500</v>
          </cell>
          <cell r="AO86">
            <v>687500</v>
          </cell>
          <cell r="AP86">
            <v>687500</v>
          </cell>
          <cell r="AQ86">
            <v>68750</v>
          </cell>
          <cell r="AR86">
            <v>10000</v>
          </cell>
          <cell r="AS86">
            <v>58750</v>
          </cell>
          <cell r="AT86">
            <v>618750</v>
          </cell>
          <cell r="AU86">
            <v>4225.1633619859094</v>
          </cell>
          <cell r="AV86">
            <v>330.22644098810611</v>
          </cell>
          <cell r="AW86">
            <v>200.52083333333334</v>
          </cell>
          <cell r="AX86">
            <v>4755.9106363073488</v>
          </cell>
          <cell r="AY86" t="e">
            <v>#REF!</v>
          </cell>
          <cell r="BF86" t="str">
            <v>PCV</v>
          </cell>
          <cell r="BG86" t="str">
            <v>María Fernanda Cabrera</v>
          </cell>
          <cell r="BH86" t="str">
            <v>Antonio Rada</v>
          </cell>
          <cell r="BL86">
            <v>1</v>
          </cell>
          <cell r="BM86">
            <v>1</v>
          </cell>
          <cell r="BN86">
            <v>1</v>
          </cell>
          <cell r="BO86">
            <v>687500</v>
          </cell>
          <cell r="BP86">
            <v>0</v>
          </cell>
        </row>
        <row r="87">
          <cell r="B87">
            <v>514</v>
          </cell>
          <cell r="C87" t="str">
            <v>E5</v>
          </cell>
          <cell r="D87">
            <v>74.260000000000005</v>
          </cell>
          <cell r="E87">
            <v>3</v>
          </cell>
          <cell r="F87">
            <v>1</v>
          </cell>
          <cell r="G87">
            <v>1.26</v>
          </cell>
          <cell r="I87">
            <v>1</v>
          </cell>
          <cell r="J87">
            <v>59</v>
          </cell>
          <cell r="K87">
            <v>62</v>
          </cell>
          <cell r="L87" t="str">
            <v>DIFERENTE</v>
          </cell>
          <cell r="M87" t="str">
            <v>S-3_204-205</v>
          </cell>
          <cell r="N87" t="str">
            <v>S3_204-205</v>
          </cell>
          <cell r="O87" t="str">
            <v>S3_145</v>
          </cell>
          <cell r="P87" t="str">
            <v>MISMO SÓTANO</v>
          </cell>
          <cell r="Q87">
            <v>12710</v>
          </cell>
          <cell r="R87">
            <v>1234088.888</v>
          </cell>
          <cell r="S87">
            <v>1348859.1545840001</v>
          </cell>
          <cell r="T87">
            <v>1234126.2580054896</v>
          </cell>
          <cell r="U87">
            <v>1348900</v>
          </cell>
          <cell r="V87">
            <v>33800</v>
          </cell>
          <cell r="W87">
            <v>1382700</v>
          </cell>
          <cell r="AA87">
            <v>1382700</v>
          </cell>
          <cell r="AC87">
            <v>1382700</v>
          </cell>
          <cell r="AD87">
            <v>55308</v>
          </cell>
          <cell r="AF87">
            <v>1438008</v>
          </cell>
          <cell r="AG87">
            <v>71900.400000000009</v>
          </cell>
          <cell r="AH87">
            <v>25170.005258020014</v>
          </cell>
          <cell r="AI87">
            <v>1535078.4052580199</v>
          </cell>
          <cell r="AN87">
            <v>1535078.4052580199</v>
          </cell>
          <cell r="AO87">
            <v>1535100</v>
          </cell>
          <cell r="AP87">
            <v>1535078.41</v>
          </cell>
          <cell r="AQ87">
            <v>153507.84052580199</v>
          </cell>
          <cell r="AR87">
            <v>10000</v>
          </cell>
          <cell r="AS87">
            <v>143507.84052580199</v>
          </cell>
          <cell r="AT87">
            <v>1381570.5647322179</v>
          </cell>
          <cell r="AU87">
            <v>9434.1193246137354</v>
          </cell>
          <cell r="AV87">
            <v>737.34324131789606</v>
          </cell>
          <cell r="AW87">
            <v>447.73120153358917</v>
          </cell>
          <cell r="AX87">
            <v>10619.19376746522</v>
          </cell>
          <cell r="AY87" t="e">
            <v>#REF!</v>
          </cell>
          <cell r="BF87" t="str">
            <v>PCV</v>
          </cell>
          <cell r="BG87" t="str">
            <v xml:space="preserve">Danya Maribel Callejas Hernández </v>
          </cell>
          <cell r="BH87" t="str">
            <v>Antonio Rada</v>
          </cell>
          <cell r="BI87">
            <v>45741</v>
          </cell>
          <cell r="BL87" t="str">
            <v>FB Lead</v>
          </cell>
          <cell r="BN87">
            <v>1</v>
          </cell>
          <cell r="BO87">
            <v>1382700</v>
          </cell>
          <cell r="BP87">
            <v>0</v>
          </cell>
        </row>
        <row r="88">
          <cell r="B88">
            <v>515</v>
          </cell>
          <cell r="C88" t="str">
            <v>A5</v>
          </cell>
          <cell r="D88">
            <v>32.57</v>
          </cell>
          <cell r="E88">
            <v>1</v>
          </cell>
          <cell r="G88">
            <v>1.49</v>
          </cell>
          <cell r="H88">
            <v>1</v>
          </cell>
          <cell r="L88" t="str">
            <v>IGUAL</v>
          </cell>
          <cell r="M88" t="str">
            <v>S-5_349</v>
          </cell>
          <cell r="N88" t="str">
            <v>S5_349</v>
          </cell>
          <cell r="O88" t="str">
            <v>S5_250</v>
          </cell>
          <cell r="P88" t="str">
            <v>MISMO SÓTANO</v>
          </cell>
          <cell r="Q88">
            <v>13368.75</v>
          </cell>
          <cell r="R88">
            <v>564999.09950000001</v>
          </cell>
          <cell r="S88">
            <v>617544.01575350005</v>
          </cell>
          <cell r="T88">
            <v>565050.32021957915</v>
          </cell>
          <cell r="U88">
            <v>617600</v>
          </cell>
          <cell r="W88">
            <v>617600</v>
          </cell>
          <cell r="AA88">
            <v>617600</v>
          </cell>
          <cell r="AC88">
            <v>617600</v>
          </cell>
          <cell r="AF88">
            <v>617600</v>
          </cell>
          <cell r="AH88">
            <v>-5650.5032021959778</v>
          </cell>
          <cell r="AI88">
            <v>611949.49679780402</v>
          </cell>
          <cell r="AN88">
            <v>611949.49679780402</v>
          </cell>
          <cell r="AO88">
            <v>612000</v>
          </cell>
          <cell r="AP88">
            <v>611949.5</v>
          </cell>
          <cell r="AQ88">
            <v>61194.949679780402</v>
          </cell>
          <cell r="AR88">
            <v>10000</v>
          </cell>
          <cell r="AS88">
            <v>51194.949679780402</v>
          </cell>
          <cell r="AT88">
            <v>550754.54711802362</v>
          </cell>
          <cell r="AU88">
            <v>3760.8532265538838</v>
          </cell>
          <cell r="AV88">
            <v>293.93731547927456</v>
          </cell>
          <cell r="AW88">
            <v>178.48526989935951</v>
          </cell>
          <cell r="AX88">
            <v>4233.2758119325181</v>
          </cell>
          <cell r="AY88" t="e">
            <v>#REF!</v>
          </cell>
          <cell r="BF88" t="str">
            <v>PCV</v>
          </cell>
          <cell r="BG88" t="str">
            <v>Vannesa Granados</v>
          </cell>
          <cell r="BH88" t="str">
            <v>Alexander Franco</v>
          </cell>
          <cell r="BJ88">
            <v>1</v>
          </cell>
          <cell r="BM88">
            <v>1</v>
          </cell>
          <cell r="BN88">
            <v>1</v>
          </cell>
          <cell r="BO88">
            <v>612000</v>
          </cell>
          <cell r="BP88">
            <v>-5600</v>
          </cell>
        </row>
        <row r="89">
          <cell r="B89">
            <v>516</v>
          </cell>
          <cell r="C89" t="str">
            <v>B4</v>
          </cell>
          <cell r="D89">
            <v>49.77</v>
          </cell>
          <cell r="E89">
            <v>2</v>
          </cell>
          <cell r="G89">
            <v>1.49</v>
          </cell>
          <cell r="H89">
            <v>1</v>
          </cell>
          <cell r="L89" t="str">
            <v>IGUAL</v>
          </cell>
          <cell r="M89" t="str">
            <v>S-3_139</v>
          </cell>
          <cell r="N89" t="str">
            <v>S3_139</v>
          </cell>
          <cell r="O89" t="str">
            <v>S3_95</v>
          </cell>
          <cell r="P89" t="str">
            <v>MISMO SÓTANO</v>
          </cell>
          <cell r="Q89">
            <v>13175</v>
          </cell>
          <cell r="R89">
            <v>785298.66200000001</v>
          </cell>
          <cell r="S89">
            <v>858331.43756600004</v>
          </cell>
          <cell r="T89">
            <v>785361.39066788659</v>
          </cell>
          <cell r="U89">
            <v>858400</v>
          </cell>
          <cell r="V89">
            <v>43000</v>
          </cell>
          <cell r="W89">
            <v>901400</v>
          </cell>
          <cell r="AA89">
            <v>901400</v>
          </cell>
          <cell r="AC89">
            <v>901400</v>
          </cell>
          <cell r="AF89">
            <v>901400</v>
          </cell>
          <cell r="AG89">
            <v>135210</v>
          </cell>
          <cell r="AH89">
            <v>0</v>
          </cell>
          <cell r="AI89">
            <v>1036610</v>
          </cell>
          <cell r="AN89">
            <v>1036610</v>
          </cell>
          <cell r="AO89">
            <v>1036700</v>
          </cell>
          <cell r="AP89">
            <v>1036610</v>
          </cell>
          <cell r="AQ89">
            <v>103661</v>
          </cell>
          <cell r="AR89">
            <v>10000</v>
          </cell>
          <cell r="AS89">
            <v>93661</v>
          </cell>
          <cell r="AT89">
            <v>932949</v>
          </cell>
          <cell r="AU89">
            <v>6370.6859529719468</v>
          </cell>
          <cell r="AV89">
            <v>497.91422689844461</v>
          </cell>
          <cell r="AW89">
            <v>302.34458333333333</v>
          </cell>
          <cell r="AX89">
            <v>7170.9447632037245</v>
          </cell>
          <cell r="AY89" t="e">
            <v>#REF!</v>
          </cell>
          <cell r="BF89" t="str">
            <v>PCV</v>
          </cell>
          <cell r="BG89" t="str">
            <v>Jose Javier Sarceño Alfaro</v>
          </cell>
          <cell r="BH89" t="str">
            <v>Diana Alvarez</v>
          </cell>
          <cell r="BI89">
            <v>45557</v>
          </cell>
          <cell r="BL89" t="str">
            <v>Feria</v>
          </cell>
          <cell r="BN89">
            <v>1</v>
          </cell>
          <cell r="BO89">
            <v>901400</v>
          </cell>
          <cell r="BP89">
            <v>0</v>
          </cell>
        </row>
        <row r="90">
          <cell r="B90">
            <v>517</v>
          </cell>
          <cell r="C90" t="str">
            <v>B3</v>
          </cell>
          <cell r="D90">
            <v>48.96</v>
          </cell>
          <cell r="E90">
            <v>2</v>
          </cell>
          <cell r="G90">
            <v>1.26</v>
          </cell>
          <cell r="H90">
            <v>1</v>
          </cell>
          <cell r="L90" t="str">
            <v>IGUAL</v>
          </cell>
          <cell r="M90" t="str">
            <v>S-3_140</v>
          </cell>
          <cell r="N90" t="str">
            <v>S3_140</v>
          </cell>
          <cell r="O90" t="str">
            <v>S3_96</v>
          </cell>
          <cell r="P90" t="str">
            <v>MISMO SÓTANO</v>
          </cell>
          <cell r="Q90">
            <v>13175</v>
          </cell>
          <cell r="R90">
            <v>773148.28799999994</v>
          </cell>
          <cell r="S90">
            <v>845051.0787839999</v>
          </cell>
          <cell r="T90">
            <v>773193.04666056728</v>
          </cell>
          <cell r="U90">
            <v>845100</v>
          </cell>
          <cell r="V90">
            <v>42300</v>
          </cell>
          <cell r="W90">
            <v>887400</v>
          </cell>
          <cell r="AA90">
            <v>887400</v>
          </cell>
          <cell r="AC90">
            <v>887400</v>
          </cell>
          <cell r="AF90">
            <v>887400</v>
          </cell>
          <cell r="AH90">
            <v>-16237.880000000005</v>
          </cell>
          <cell r="AI90">
            <v>871162.12</v>
          </cell>
          <cell r="AN90">
            <v>871162.12</v>
          </cell>
          <cell r="AO90">
            <v>871200</v>
          </cell>
          <cell r="AP90">
            <v>871162.12</v>
          </cell>
          <cell r="AQ90">
            <v>87116.212</v>
          </cell>
          <cell r="AR90">
            <v>10000</v>
          </cell>
          <cell r="AS90">
            <v>77116.212</v>
          </cell>
          <cell r="AT90">
            <v>784045.90800000005</v>
          </cell>
          <cell r="AU90">
            <v>5353.8942134894141</v>
          </cell>
          <cell r="AV90">
            <v>418.44475114364133</v>
          </cell>
          <cell r="AW90">
            <v>254.08895166666665</v>
          </cell>
          <cell r="AX90">
            <v>6026.4279162997218</v>
          </cell>
          <cell r="AY90" t="e">
            <v>#REF!</v>
          </cell>
          <cell r="BF90" t="str">
            <v>PCV</v>
          </cell>
          <cell r="BG90" t="str">
            <v>Jorge Diaz Duran</v>
          </cell>
          <cell r="BH90" t="str">
            <v>Antonio Rada</v>
          </cell>
          <cell r="BO90">
            <v>887400</v>
          </cell>
          <cell r="BP90">
            <v>0</v>
          </cell>
        </row>
        <row r="91">
          <cell r="B91">
            <v>518</v>
          </cell>
          <cell r="C91" t="str">
            <v>E9</v>
          </cell>
          <cell r="D91">
            <v>72.2</v>
          </cell>
          <cell r="E91">
            <v>3</v>
          </cell>
          <cell r="F91">
            <v>1</v>
          </cell>
          <cell r="G91">
            <v>1.26</v>
          </cell>
          <cell r="I91">
            <v>1</v>
          </cell>
          <cell r="J91">
            <v>57</v>
          </cell>
          <cell r="K91">
            <v>60</v>
          </cell>
          <cell r="L91" t="str">
            <v>DIFERENTE</v>
          </cell>
          <cell r="M91" t="str">
            <v>S-3_200-201</v>
          </cell>
          <cell r="N91" t="str">
            <v>S3_200-201</v>
          </cell>
          <cell r="O91" t="str">
            <v>S3_143</v>
          </cell>
          <cell r="P91" t="str">
            <v>MISMO SÓTANO</v>
          </cell>
          <cell r="Q91">
            <v>12710</v>
          </cell>
          <cell r="R91">
            <v>1207906.2879999999</v>
          </cell>
          <cell r="S91">
            <v>1320241.5727839998</v>
          </cell>
          <cell r="T91">
            <v>1207959.7438243367</v>
          </cell>
          <cell r="U91">
            <v>1320300</v>
          </cell>
          <cell r="V91">
            <v>33100</v>
          </cell>
          <cell r="W91">
            <v>1353400</v>
          </cell>
          <cell r="AA91">
            <v>1353400</v>
          </cell>
          <cell r="AC91">
            <v>1353400</v>
          </cell>
          <cell r="AD91">
            <v>54136</v>
          </cell>
          <cell r="AF91">
            <v>1407536</v>
          </cell>
          <cell r="AG91">
            <v>70376.800000000003</v>
          </cell>
          <cell r="AH91">
            <v>24636.642161139986</v>
          </cell>
          <cell r="AI91">
            <v>1502549.44216114</v>
          </cell>
          <cell r="AN91">
            <v>1502549.44216114</v>
          </cell>
          <cell r="AO91">
            <v>1502600</v>
          </cell>
          <cell r="AP91">
            <v>1502549.44</v>
          </cell>
          <cell r="AQ91">
            <v>150254.944216114</v>
          </cell>
          <cell r="AR91">
            <v>10000</v>
          </cell>
          <cell r="AS91">
            <v>140254.944216114</v>
          </cell>
          <cell r="AT91">
            <v>1352294.497945026</v>
          </cell>
          <cell r="AU91">
            <v>9234.2063310423491</v>
          </cell>
          <cell r="AV91">
            <v>721.71862500878171</v>
          </cell>
          <cell r="AW91">
            <v>438.24358729699924</v>
          </cell>
          <cell r="AX91">
            <v>10394.168543348131</v>
          </cell>
          <cell r="AY91" t="e">
            <v>#REF!</v>
          </cell>
          <cell r="BF91" t="str">
            <v>PCV</v>
          </cell>
          <cell r="BG91" t="str">
            <v>Karla Denisse Ariana Mendez Contreras</v>
          </cell>
          <cell r="BH91" t="str">
            <v>Diana Alvarez</v>
          </cell>
          <cell r="BI91">
            <v>45594</v>
          </cell>
          <cell r="BL91" t="str">
            <v>Valla de construcción</v>
          </cell>
          <cell r="BN91">
            <v>1</v>
          </cell>
          <cell r="BO91">
            <v>1353400</v>
          </cell>
          <cell r="BP91">
            <v>0</v>
          </cell>
        </row>
        <row r="92">
          <cell r="B92">
            <v>519</v>
          </cell>
          <cell r="C92" t="str">
            <v>E10</v>
          </cell>
          <cell r="D92">
            <v>72.510000000000005</v>
          </cell>
          <cell r="E92">
            <v>3</v>
          </cell>
          <cell r="F92">
            <v>1</v>
          </cell>
          <cell r="G92">
            <v>3.99</v>
          </cell>
          <cell r="I92">
            <v>1</v>
          </cell>
          <cell r="J92">
            <v>58</v>
          </cell>
          <cell r="K92">
            <v>61</v>
          </cell>
          <cell r="L92" t="str">
            <v>DIFERENTE</v>
          </cell>
          <cell r="M92" t="str">
            <v>S-3_202-203</v>
          </cell>
          <cell r="N92" t="str">
            <v>S3_202-203</v>
          </cell>
          <cell r="O92" t="str">
            <v>S3_144</v>
          </cell>
          <cell r="P92" t="str">
            <v>MISMO SÓTANO</v>
          </cell>
          <cell r="Q92">
            <v>12710</v>
          </cell>
          <cell r="R92">
            <v>1229397.0120000001</v>
          </cell>
          <cell r="S92">
            <v>1343730.9341160001</v>
          </cell>
          <cell r="T92">
            <v>1229460.2012808784</v>
          </cell>
          <cell r="U92">
            <v>1343800</v>
          </cell>
          <cell r="V92">
            <v>33600</v>
          </cell>
          <cell r="W92">
            <v>1377400</v>
          </cell>
          <cell r="AA92">
            <v>1377400</v>
          </cell>
          <cell r="AC92">
            <v>1377400</v>
          </cell>
          <cell r="AD92">
            <v>55096</v>
          </cell>
          <cell r="AF92">
            <v>1432496</v>
          </cell>
          <cell r="AG92">
            <v>71624.800000000003</v>
          </cell>
          <cell r="AH92">
            <v>25073.526609099936</v>
          </cell>
          <cell r="AI92">
            <v>1529194.3266091</v>
          </cell>
          <cell r="AJ92">
            <v>61167.773064364002</v>
          </cell>
          <cell r="AK92">
            <v>10000</v>
          </cell>
          <cell r="AN92">
            <v>1600362.099673464</v>
          </cell>
          <cell r="AO92">
            <v>1600400</v>
          </cell>
          <cell r="AP92">
            <v>1600400</v>
          </cell>
          <cell r="AQ92">
            <v>152919.43266091001</v>
          </cell>
          <cell r="AR92">
            <v>10000</v>
          </cell>
          <cell r="AS92">
            <v>142919.43266091001</v>
          </cell>
          <cell r="AT92">
            <v>1376274.8939481899</v>
          </cell>
          <cell r="AU92">
            <v>9397.9575885752474</v>
          </cell>
          <cell r="AV92">
            <v>734.51694553502045</v>
          </cell>
          <cell r="AW92">
            <v>446.01501192765414</v>
          </cell>
          <cell r="AX92">
            <v>10578.489546037923</v>
          </cell>
          <cell r="AY92" t="e">
            <v>#REF!</v>
          </cell>
          <cell r="BF92" t="str">
            <v>PCV</v>
          </cell>
          <cell r="BG92" t="str">
            <v>Neftali De León</v>
          </cell>
          <cell r="BH92" t="str">
            <v>Anahi Cisneros</v>
          </cell>
          <cell r="BI92">
            <v>45898</v>
          </cell>
          <cell r="BL92" t="str">
            <v>Facebook</v>
          </cell>
          <cell r="BN92">
            <v>1</v>
          </cell>
          <cell r="BO92">
            <v>1377400</v>
          </cell>
          <cell r="BP92">
            <v>0</v>
          </cell>
        </row>
        <row r="93">
          <cell r="B93">
            <v>601</v>
          </cell>
          <cell r="C93" t="str">
            <v>E9</v>
          </cell>
          <cell r="D93">
            <v>72.2</v>
          </cell>
          <cell r="E93">
            <v>3</v>
          </cell>
          <cell r="F93">
            <v>1</v>
          </cell>
          <cell r="G93">
            <v>1.26</v>
          </cell>
          <cell r="I93">
            <v>1</v>
          </cell>
          <cell r="J93">
            <v>3</v>
          </cell>
          <cell r="K93">
            <v>3</v>
          </cell>
          <cell r="L93" t="str">
            <v>IGUAL</v>
          </cell>
          <cell r="M93" t="str">
            <v>S-1_08-09</v>
          </cell>
          <cell r="N93" t="str">
            <v>S1_08-09</v>
          </cell>
          <cell r="O93" t="str">
            <v>S1_3</v>
          </cell>
          <cell r="P93" t="str">
            <v>MISMO SÓTANO</v>
          </cell>
          <cell r="Q93">
            <v>12710</v>
          </cell>
          <cell r="R93">
            <v>1207906.2879999999</v>
          </cell>
          <cell r="S93">
            <v>1320241.5727839998</v>
          </cell>
          <cell r="T93">
            <v>1207959.7438243367</v>
          </cell>
          <cell r="U93">
            <v>1320300</v>
          </cell>
          <cell r="V93">
            <v>33100</v>
          </cell>
          <cell r="W93">
            <v>1353400</v>
          </cell>
          <cell r="AA93">
            <v>1353400</v>
          </cell>
          <cell r="AC93">
            <v>1353400</v>
          </cell>
          <cell r="AD93">
            <v>54136</v>
          </cell>
          <cell r="AF93">
            <v>1407536</v>
          </cell>
          <cell r="AG93">
            <v>70376.800000000003</v>
          </cell>
          <cell r="AH93">
            <v>0</v>
          </cell>
          <cell r="AI93">
            <v>1477912.8</v>
          </cell>
          <cell r="AN93">
            <v>1477912.8</v>
          </cell>
          <cell r="AO93">
            <v>1478000</v>
          </cell>
          <cell r="AP93">
            <v>1477912.8</v>
          </cell>
          <cell r="AQ93">
            <v>147791.28</v>
          </cell>
          <cell r="AR93">
            <v>10000</v>
          </cell>
          <cell r="AS93">
            <v>137791.28</v>
          </cell>
          <cell r="AT93">
            <v>1330121.52</v>
          </cell>
          <cell r="AU93">
            <v>9082.79711239274</v>
          </cell>
          <cell r="AV93">
            <v>709.88492223238791</v>
          </cell>
          <cell r="AW93">
            <v>431.05790000000002</v>
          </cell>
          <cell r="AX93">
            <v>10223.739934625128</v>
          </cell>
          <cell r="AY93" t="e">
            <v>#REF!</v>
          </cell>
          <cell r="BF93" t="str">
            <v>PCV</v>
          </cell>
          <cell r="BG93" t="str">
            <v>Amilcar Rivera</v>
          </cell>
          <cell r="BH93" t="str">
            <v>Diana Alvarez</v>
          </cell>
          <cell r="BI93">
            <v>45580</v>
          </cell>
          <cell r="BL93" t="str">
            <v>FB Lead</v>
          </cell>
          <cell r="BN93">
            <v>1</v>
          </cell>
          <cell r="BO93">
            <v>1353400</v>
          </cell>
          <cell r="BP93">
            <v>0</v>
          </cell>
        </row>
        <row r="94">
          <cell r="B94">
            <v>602</v>
          </cell>
          <cell r="C94" t="str">
            <v>E10</v>
          </cell>
          <cell r="D94">
            <v>72.510000000000005</v>
          </cell>
          <cell r="E94">
            <v>3</v>
          </cell>
          <cell r="F94">
            <v>1</v>
          </cell>
          <cell r="G94">
            <v>3.99</v>
          </cell>
          <cell r="I94">
            <v>1</v>
          </cell>
          <cell r="J94">
            <v>4</v>
          </cell>
          <cell r="K94">
            <v>4</v>
          </cell>
          <cell r="L94" t="str">
            <v>IGUAL</v>
          </cell>
          <cell r="M94" t="str">
            <v>S-1_10-11</v>
          </cell>
          <cell r="N94" t="str">
            <v>S1_10-11</v>
          </cell>
          <cell r="O94" t="str">
            <v>S1_4</v>
          </cell>
          <cell r="P94" t="str">
            <v>MISMO SÓTANO</v>
          </cell>
          <cell r="Q94">
            <v>12710</v>
          </cell>
          <cell r="R94">
            <v>1229397.0120000001</v>
          </cell>
          <cell r="S94">
            <v>1343730.9341160001</v>
          </cell>
          <cell r="T94">
            <v>1229460.2012808784</v>
          </cell>
          <cell r="U94">
            <v>1343800</v>
          </cell>
          <cell r="V94">
            <v>33600</v>
          </cell>
          <cell r="W94">
            <v>1377400</v>
          </cell>
          <cell r="AA94">
            <v>1377400</v>
          </cell>
          <cell r="AC94">
            <v>1377400</v>
          </cell>
          <cell r="AD94">
            <v>55096</v>
          </cell>
          <cell r="AF94">
            <v>1432496</v>
          </cell>
          <cell r="AG94">
            <v>71624.800000000003</v>
          </cell>
          <cell r="AH94">
            <v>25073.526609099936</v>
          </cell>
          <cell r="AI94">
            <v>1529194.3266091</v>
          </cell>
          <cell r="AJ94">
            <v>61167.773064364002</v>
          </cell>
          <cell r="AK94">
            <v>10000</v>
          </cell>
          <cell r="AN94">
            <v>1600362.099673464</v>
          </cell>
          <cell r="AO94">
            <v>1600400</v>
          </cell>
          <cell r="AP94">
            <v>1610400</v>
          </cell>
          <cell r="AQ94">
            <v>152919.43266091001</v>
          </cell>
          <cell r="AR94">
            <v>10000</v>
          </cell>
          <cell r="AS94">
            <v>142919.43266091001</v>
          </cell>
          <cell r="AT94">
            <v>1376274.8939481899</v>
          </cell>
          <cell r="AU94">
            <v>9397.9575885752474</v>
          </cell>
          <cell r="AV94">
            <v>734.51694553502045</v>
          </cell>
          <cell r="AW94">
            <v>446.01501192765414</v>
          </cell>
          <cell r="AX94">
            <v>10578.489546037923</v>
          </cell>
          <cell r="AY94" t="e">
            <v>#REF!</v>
          </cell>
          <cell r="BF94" t="str">
            <v>PCV</v>
          </cell>
          <cell r="BG94" t="str">
            <v>Wendy Lorena Caal Garcia</v>
          </cell>
          <cell r="BH94" t="str">
            <v>Anahi Cisneros</v>
          </cell>
          <cell r="BI94">
            <v>45899</v>
          </cell>
          <cell r="BL94" t="str">
            <v>Perfilan</v>
          </cell>
          <cell r="BN94">
            <v>1</v>
          </cell>
          <cell r="BO94">
            <v>1377400</v>
          </cell>
          <cell r="BP94">
            <v>0</v>
          </cell>
        </row>
        <row r="95">
          <cell r="B95">
            <v>603</v>
          </cell>
          <cell r="C95" t="str">
            <v>B4</v>
          </cell>
          <cell r="D95">
            <v>49.77</v>
          </cell>
          <cell r="E95">
            <v>2</v>
          </cell>
          <cell r="G95">
            <v>1.49</v>
          </cell>
          <cell r="H95">
            <v>1</v>
          </cell>
          <cell r="L95" t="str">
            <v>IGUAL</v>
          </cell>
          <cell r="M95" t="str">
            <v>S-3_141</v>
          </cell>
          <cell r="N95" t="str">
            <v>S3_141</v>
          </cell>
          <cell r="O95" t="str">
            <v>S3_97</v>
          </cell>
          <cell r="P95" t="str">
            <v>MISMO SÓTANO</v>
          </cell>
          <cell r="Q95">
            <v>13175</v>
          </cell>
          <cell r="R95">
            <v>785298.66200000001</v>
          </cell>
          <cell r="S95">
            <v>858331.43756600004</v>
          </cell>
          <cell r="T95">
            <v>785361.39066788659</v>
          </cell>
          <cell r="U95">
            <v>858400</v>
          </cell>
          <cell r="V95">
            <v>43000</v>
          </cell>
          <cell r="W95">
            <v>901400</v>
          </cell>
          <cell r="AA95">
            <v>901400</v>
          </cell>
          <cell r="AC95">
            <v>901400</v>
          </cell>
          <cell r="AF95">
            <v>901400</v>
          </cell>
          <cell r="AH95">
            <v>0</v>
          </cell>
          <cell r="AI95">
            <v>901400</v>
          </cell>
          <cell r="AN95">
            <v>901400</v>
          </cell>
          <cell r="AO95">
            <v>901400</v>
          </cell>
          <cell r="AP95">
            <v>901400</v>
          </cell>
          <cell r="AQ95">
            <v>90140</v>
          </cell>
          <cell r="AR95">
            <v>10000</v>
          </cell>
          <cell r="AS95">
            <v>80140</v>
          </cell>
          <cell r="AT95">
            <v>811260</v>
          </cell>
          <cell r="AU95">
            <v>5539.7269156277798</v>
          </cell>
          <cell r="AV95">
            <v>432.96889295516917</v>
          </cell>
          <cell r="AW95">
            <v>262.90833333333336</v>
          </cell>
          <cell r="AX95">
            <v>6235.604141916283</v>
          </cell>
          <cell r="AY95" t="e">
            <v>#REF!</v>
          </cell>
          <cell r="BF95" t="str">
            <v>PCV</v>
          </cell>
          <cell r="BG95" t="str">
            <v xml:space="preserve">Mario Jóse Marquez </v>
          </cell>
          <cell r="BH95" t="str">
            <v>Antonio Rada</v>
          </cell>
          <cell r="BL95" t="str">
            <v>Página Web</v>
          </cell>
          <cell r="BN95">
            <v>1</v>
          </cell>
          <cell r="BO95">
            <v>901400</v>
          </cell>
          <cell r="BP95">
            <v>0</v>
          </cell>
        </row>
        <row r="96">
          <cell r="B96">
            <v>604</v>
          </cell>
          <cell r="C96" t="str">
            <v>B3</v>
          </cell>
          <cell r="D96">
            <v>48.96</v>
          </cell>
          <cell r="E96">
            <v>2</v>
          </cell>
          <cell r="G96">
            <v>1.26</v>
          </cell>
          <cell r="H96">
            <v>1</v>
          </cell>
          <cell r="L96" t="str">
            <v>IGUAL</v>
          </cell>
          <cell r="M96" t="str">
            <v>S-3_142</v>
          </cell>
          <cell r="N96" t="str">
            <v>S3_142</v>
          </cell>
          <cell r="O96" t="str">
            <v>S3_98</v>
          </cell>
          <cell r="P96" t="str">
            <v>MISMO SÓTANO</v>
          </cell>
          <cell r="Q96">
            <v>13175</v>
          </cell>
          <cell r="R96">
            <v>773148.28799999994</v>
          </cell>
          <cell r="S96">
            <v>845051.0787839999</v>
          </cell>
          <cell r="T96">
            <v>773193.04666056728</v>
          </cell>
          <cell r="U96">
            <v>845100</v>
          </cell>
          <cell r="V96">
            <v>42300</v>
          </cell>
          <cell r="W96">
            <v>887400</v>
          </cell>
          <cell r="AA96">
            <v>887400</v>
          </cell>
          <cell r="AC96">
            <v>887400</v>
          </cell>
          <cell r="AF96">
            <v>887400</v>
          </cell>
          <cell r="AH96">
            <v>0</v>
          </cell>
          <cell r="AI96">
            <v>887400</v>
          </cell>
          <cell r="AN96">
            <v>887400</v>
          </cell>
          <cell r="AO96">
            <v>887400</v>
          </cell>
          <cell r="AP96">
            <v>887400</v>
          </cell>
          <cell r="AQ96">
            <v>88740</v>
          </cell>
          <cell r="AR96">
            <v>10000</v>
          </cell>
          <cell r="AS96">
            <v>78740</v>
          </cell>
          <cell r="AT96">
            <v>798660</v>
          </cell>
          <cell r="AU96">
            <v>5453.6872253473384</v>
          </cell>
          <cell r="AV96">
            <v>426.24428179322962</v>
          </cell>
          <cell r="AW96">
            <v>258.82499999999999</v>
          </cell>
          <cell r="AX96">
            <v>6138.7565071405679</v>
          </cell>
          <cell r="AY96" t="e">
            <v>#REF!</v>
          </cell>
          <cell r="BF96" t="str">
            <v>PCV</v>
          </cell>
          <cell r="BG96" t="str">
            <v>Juan Sebastian Gaitan Serrano</v>
          </cell>
          <cell r="BH96" t="str">
            <v>Antonio Rada</v>
          </cell>
          <cell r="BL96" t="str">
            <v>Mentor</v>
          </cell>
          <cell r="BN96">
            <v>1</v>
          </cell>
          <cell r="BO96">
            <v>887400</v>
          </cell>
          <cell r="BP96">
            <v>0</v>
          </cell>
        </row>
        <row r="97">
          <cell r="B97">
            <v>605</v>
          </cell>
          <cell r="C97" t="str">
            <v>D9</v>
          </cell>
          <cell r="D97">
            <v>68.91</v>
          </cell>
          <cell r="E97">
            <v>3</v>
          </cell>
          <cell r="F97">
            <v>1</v>
          </cell>
          <cell r="G97">
            <v>1.47</v>
          </cell>
          <cell r="I97">
            <v>1</v>
          </cell>
          <cell r="J97">
            <v>61</v>
          </cell>
          <cell r="K97">
            <v>64</v>
          </cell>
          <cell r="L97" t="str">
            <v>DIFERENTE</v>
          </cell>
          <cell r="M97" t="str">
            <v>S-3_208-209</v>
          </cell>
          <cell r="N97" t="str">
            <v>S3_208-209</v>
          </cell>
          <cell r="O97" t="str">
            <v>S3_147</v>
          </cell>
          <cell r="P97" t="str">
            <v>MISMO SÓTANO</v>
          </cell>
          <cell r="Q97">
            <v>12710</v>
          </cell>
          <cell r="R97">
            <v>1167440.436</v>
          </cell>
          <cell r="S97">
            <v>1276012.3965479999</v>
          </cell>
          <cell r="T97">
            <v>1167520.5855443734</v>
          </cell>
          <cell r="U97">
            <v>1276100</v>
          </cell>
          <cell r="V97">
            <v>32000</v>
          </cell>
          <cell r="W97">
            <v>1308100</v>
          </cell>
          <cell r="AA97">
            <v>1308100</v>
          </cell>
          <cell r="AC97">
            <v>1308100</v>
          </cell>
          <cell r="AF97">
            <v>1308100</v>
          </cell>
          <cell r="AG97">
            <v>65405</v>
          </cell>
          <cell r="AH97">
            <v>0</v>
          </cell>
          <cell r="AI97">
            <v>1373505</v>
          </cell>
          <cell r="AN97">
            <v>1373505</v>
          </cell>
          <cell r="AO97">
            <v>1373600</v>
          </cell>
          <cell r="AP97">
            <v>1373505</v>
          </cell>
          <cell r="AQ97">
            <v>137350.5</v>
          </cell>
          <cell r="AR97">
            <v>10000</v>
          </cell>
          <cell r="AS97">
            <v>127350.5</v>
          </cell>
          <cell r="AT97">
            <v>1236154.5</v>
          </cell>
          <cell r="AU97">
            <v>8441.1389141882992</v>
          </cell>
          <cell r="AV97">
            <v>659.73478956999077</v>
          </cell>
          <cell r="AW97">
            <v>400.60562499999997</v>
          </cell>
          <cell r="AX97">
            <v>9501.4793287582906</v>
          </cell>
          <cell r="AY97" t="e">
            <v>#REF!</v>
          </cell>
          <cell r="BF97" t="str">
            <v>PCV</v>
          </cell>
          <cell r="BG97" t="str">
            <v xml:space="preserve">Mirna Maria Rosas Guerra </v>
          </cell>
          <cell r="BH97" t="str">
            <v>Antonio Rada</v>
          </cell>
          <cell r="BI97">
            <v>45553</v>
          </cell>
          <cell r="BL97" t="str">
            <v>Whatsapp</v>
          </cell>
          <cell r="BN97">
            <v>1</v>
          </cell>
          <cell r="BO97">
            <v>1308100</v>
          </cell>
          <cell r="BP97">
            <v>0</v>
          </cell>
        </row>
        <row r="98">
          <cell r="B98">
            <v>606</v>
          </cell>
          <cell r="C98" t="str">
            <v>D8</v>
          </cell>
          <cell r="D98">
            <v>69.31</v>
          </cell>
          <cell r="E98">
            <v>3</v>
          </cell>
          <cell r="F98">
            <v>1</v>
          </cell>
          <cell r="G98">
            <v>1.5</v>
          </cell>
          <cell r="I98">
            <v>1</v>
          </cell>
          <cell r="J98">
            <v>62</v>
          </cell>
          <cell r="K98">
            <v>65</v>
          </cell>
          <cell r="L98" t="str">
            <v>DIFERENTE</v>
          </cell>
          <cell r="M98" t="str">
            <v>S-3_210-211</v>
          </cell>
          <cell r="N98" t="str">
            <v>S3_210-211</v>
          </cell>
          <cell r="O98" t="str">
            <v>S3_148</v>
          </cell>
          <cell r="P98" t="str">
            <v>MISMO SÓTANO</v>
          </cell>
          <cell r="Q98">
            <v>12710</v>
          </cell>
          <cell r="R98">
            <v>1172717.2999999998</v>
          </cell>
          <cell r="S98">
            <v>1281780.0088999998</v>
          </cell>
          <cell r="T98">
            <v>1172735.5901189388</v>
          </cell>
          <cell r="U98">
            <v>1281800</v>
          </cell>
          <cell r="V98">
            <v>32100</v>
          </cell>
          <cell r="W98">
            <v>1313900</v>
          </cell>
          <cell r="AA98">
            <v>1313900</v>
          </cell>
          <cell r="AC98">
            <v>1313900</v>
          </cell>
          <cell r="AF98">
            <v>1313900</v>
          </cell>
          <cell r="AG98">
            <v>65695</v>
          </cell>
          <cell r="AH98">
            <v>0</v>
          </cell>
          <cell r="AI98">
            <v>1379595</v>
          </cell>
          <cell r="AN98">
            <v>1379595</v>
          </cell>
          <cell r="AO98">
            <v>1379600</v>
          </cell>
          <cell r="AP98">
            <v>1379595</v>
          </cell>
          <cell r="AQ98">
            <v>137959.5</v>
          </cell>
          <cell r="AR98">
            <v>10000</v>
          </cell>
          <cell r="AS98">
            <v>127959.5</v>
          </cell>
          <cell r="AT98">
            <v>1241635.5</v>
          </cell>
          <cell r="AU98">
            <v>8478.5661794602911</v>
          </cell>
          <cell r="AV98">
            <v>662.65999542543443</v>
          </cell>
          <cell r="AW98">
            <v>402.38187500000004</v>
          </cell>
          <cell r="AX98">
            <v>9543.6080498857264</v>
          </cell>
          <cell r="AY98" t="e">
            <v>#REF!</v>
          </cell>
          <cell r="BF98" t="str">
            <v>PCV</v>
          </cell>
          <cell r="BG98" t="str">
            <v>Mar Frendi Solly Gramajo Hernandez</v>
          </cell>
          <cell r="BH98" t="str">
            <v>Antonio Rada</v>
          </cell>
          <cell r="BI98">
            <v>45533</v>
          </cell>
          <cell r="BL98" t="str">
            <v>Valla de construcción</v>
          </cell>
          <cell r="BN98">
            <v>1</v>
          </cell>
          <cell r="BO98">
            <v>1313900</v>
          </cell>
          <cell r="BP98">
            <v>0</v>
          </cell>
        </row>
        <row r="99">
          <cell r="B99">
            <v>607</v>
          </cell>
          <cell r="C99" t="str">
            <v>A12</v>
          </cell>
          <cell r="D99">
            <v>37.17</v>
          </cell>
          <cell r="E99">
            <v>1</v>
          </cell>
          <cell r="G99">
            <v>1.55</v>
          </cell>
          <cell r="H99">
            <v>1</v>
          </cell>
          <cell r="L99" t="str">
            <v>IGUAL</v>
          </cell>
          <cell r="M99" t="str">
            <v>S-5_350</v>
          </cell>
          <cell r="N99" t="str">
            <v>S5_350</v>
          </cell>
          <cell r="O99" t="str">
            <v>S5_251</v>
          </cell>
          <cell r="P99" t="str">
            <v>MISMO SÓTANO</v>
          </cell>
          <cell r="Q99">
            <v>13368.75</v>
          </cell>
          <cell r="R99">
            <v>626881.07750000001</v>
          </cell>
          <cell r="S99">
            <v>685181.01770750002</v>
          </cell>
          <cell r="T99">
            <v>626898.4446477585</v>
          </cell>
          <cell r="U99">
            <v>685200</v>
          </cell>
          <cell r="V99">
            <v>37700</v>
          </cell>
          <cell r="W99">
            <v>722900</v>
          </cell>
          <cell r="X99">
            <v>21687</v>
          </cell>
          <cell r="AA99">
            <v>744587</v>
          </cell>
          <cell r="AC99">
            <v>744587</v>
          </cell>
          <cell r="AF99">
            <v>744587</v>
          </cell>
          <cell r="AH99">
            <v>26687</v>
          </cell>
          <cell r="AI99">
            <v>771274</v>
          </cell>
          <cell r="AN99">
            <v>771274</v>
          </cell>
          <cell r="AO99">
            <v>771300</v>
          </cell>
          <cell r="AP99">
            <v>771274</v>
          </cell>
          <cell r="AQ99">
            <v>77127.400000000009</v>
          </cell>
          <cell r="AR99">
            <v>10000</v>
          </cell>
          <cell r="AS99">
            <v>67127.400000000009</v>
          </cell>
          <cell r="AT99">
            <v>694146.6</v>
          </cell>
          <cell r="AU99">
            <v>4740.0125772397378</v>
          </cell>
          <cell r="AV99">
            <v>370.46555352241535</v>
          </cell>
          <cell r="AW99">
            <v>224.95491666666666</v>
          </cell>
          <cell r="AX99">
            <v>5335.4330474288199</v>
          </cell>
          <cell r="AY99" t="e">
            <v>#REF!</v>
          </cell>
          <cell r="BF99" t="str">
            <v>PCV</v>
          </cell>
          <cell r="BG99" t="str">
            <v>Antony Williams Sajche Torres</v>
          </cell>
          <cell r="BH99" t="str">
            <v>Antonio Rada</v>
          </cell>
          <cell r="BI99">
            <v>45769</v>
          </cell>
          <cell r="BL99" t="str">
            <v>Valla de construcción</v>
          </cell>
          <cell r="BN99">
            <v>1</v>
          </cell>
          <cell r="BO99">
            <v>722900</v>
          </cell>
          <cell r="BP99">
            <v>-21687</v>
          </cell>
        </row>
        <row r="100">
          <cell r="B100">
            <v>608</v>
          </cell>
          <cell r="C100" t="str">
            <v>C6</v>
          </cell>
          <cell r="D100">
            <v>55</v>
          </cell>
          <cell r="E100">
            <v>2</v>
          </cell>
          <cell r="F100">
            <v>1</v>
          </cell>
          <cell r="G100">
            <v>1.45</v>
          </cell>
          <cell r="I100">
            <v>1</v>
          </cell>
          <cell r="J100">
            <v>107</v>
          </cell>
          <cell r="K100">
            <v>108</v>
          </cell>
          <cell r="L100" t="str">
            <v>DIFERENTE</v>
          </cell>
          <cell r="M100" t="str">
            <v>S-5_372-373</v>
          </cell>
          <cell r="N100" t="str">
            <v>S5_372-373</v>
          </cell>
          <cell r="O100" t="str">
            <v>S5_271</v>
          </cell>
          <cell r="P100" t="str">
            <v>MISMO SÓTANO</v>
          </cell>
          <cell r="Q100">
            <v>13175</v>
          </cell>
          <cell r="R100">
            <v>1016090.76</v>
          </cell>
          <cell r="S100">
            <v>1110587.20068</v>
          </cell>
          <cell r="T100">
            <v>1016102.4702653248</v>
          </cell>
          <cell r="U100">
            <v>1110600</v>
          </cell>
          <cell r="V100">
            <v>55600</v>
          </cell>
          <cell r="W100">
            <v>1166200</v>
          </cell>
          <cell r="X100">
            <v>17493</v>
          </cell>
          <cell r="AA100">
            <v>1183693</v>
          </cell>
          <cell r="AC100">
            <v>1183693</v>
          </cell>
          <cell r="AF100">
            <v>1183693</v>
          </cell>
          <cell r="AH100">
            <v>0</v>
          </cell>
          <cell r="AI100">
            <v>1183693</v>
          </cell>
          <cell r="AN100">
            <v>1183693</v>
          </cell>
          <cell r="AO100">
            <v>1183700</v>
          </cell>
          <cell r="AP100">
            <v>1183693</v>
          </cell>
          <cell r="AQ100">
            <v>118369.3</v>
          </cell>
          <cell r="AR100">
            <v>10000</v>
          </cell>
          <cell r="AS100">
            <v>108369.3</v>
          </cell>
          <cell r="AT100">
            <v>1065323.7</v>
          </cell>
          <cell r="AU100">
            <v>7274.61279336609</v>
          </cell>
          <cell r="AV100">
            <v>568.5625114364135</v>
          </cell>
          <cell r="AW100">
            <v>345.24379166666671</v>
          </cell>
          <cell r="AX100">
            <v>8188.4190964691707</v>
          </cell>
          <cell r="AY100" t="e">
            <v>#REF!</v>
          </cell>
          <cell r="BF100" t="str">
            <v>PCV</v>
          </cell>
          <cell r="BG100" t="str">
            <v xml:space="preserve">Alfonso Videche Rodriguez </v>
          </cell>
          <cell r="BH100" t="str">
            <v>Antonio Rada</v>
          </cell>
          <cell r="BL100">
            <v>1</v>
          </cell>
          <cell r="BN100">
            <v>1</v>
          </cell>
          <cell r="BO100">
            <v>1183700</v>
          </cell>
          <cell r="BP100">
            <v>7</v>
          </cell>
        </row>
        <row r="101">
          <cell r="B101">
            <v>609</v>
          </cell>
          <cell r="C101" t="str">
            <v>C5</v>
          </cell>
          <cell r="D101">
            <v>54.86</v>
          </cell>
          <cell r="E101">
            <v>2</v>
          </cell>
          <cell r="F101">
            <v>1</v>
          </cell>
          <cell r="G101">
            <v>1.45</v>
          </cell>
          <cell r="I101">
            <v>1</v>
          </cell>
          <cell r="J101">
            <v>115</v>
          </cell>
          <cell r="K101">
            <v>116</v>
          </cell>
          <cell r="L101" t="str">
            <v>DIFERENTE</v>
          </cell>
          <cell r="M101" t="str">
            <v>S-5_404-405</v>
          </cell>
          <cell r="N101" t="str">
            <v>S5_404-405</v>
          </cell>
          <cell r="O101" t="str">
            <v>S5_287</v>
          </cell>
          <cell r="P101" t="str">
            <v>MISMO SÓTANO</v>
          </cell>
          <cell r="Q101">
            <v>13175</v>
          </cell>
          <cell r="R101">
            <v>1014246.26</v>
          </cell>
          <cell r="S101">
            <v>1108571.16218</v>
          </cell>
          <cell r="T101">
            <v>1014272.6440988106</v>
          </cell>
          <cell r="U101">
            <v>1108600</v>
          </cell>
          <cell r="V101">
            <v>55500</v>
          </cell>
          <cell r="W101">
            <v>1164100</v>
          </cell>
          <cell r="X101">
            <v>17461.5</v>
          </cell>
          <cell r="AA101">
            <v>1181561.5</v>
          </cell>
          <cell r="AC101">
            <v>1181561.5</v>
          </cell>
          <cell r="AF101">
            <v>1181561.5</v>
          </cell>
          <cell r="AH101">
            <v>0</v>
          </cell>
          <cell r="AI101">
            <v>1181561.5</v>
          </cell>
          <cell r="AN101">
            <v>1181561.5</v>
          </cell>
          <cell r="AO101">
            <v>1181600</v>
          </cell>
          <cell r="AP101">
            <v>1181561.5</v>
          </cell>
          <cell r="AQ101">
            <v>118156.15000000001</v>
          </cell>
          <cell r="AR101">
            <v>10000</v>
          </cell>
          <cell r="AS101">
            <v>108156.15000000001</v>
          </cell>
          <cell r="AT101">
            <v>1063405.3500000001</v>
          </cell>
          <cell r="AU101">
            <v>7261.513250520894</v>
          </cell>
          <cell r="AV101">
            <v>567.53868938700816</v>
          </cell>
          <cell r="AW101">
            <v>344.6221041666667</v>
          </cell>
          <cell r="AX101">
            <v>8173.6740440745689</v>
          </cell>
          <cell r="AY101" t="e">
            <v>#REF!</v>
          </cell>
          <cell r="BF101" t="str">
            <v>PCV</v>
          </cell>
          <cell r="BG101" t="str">
            <v>Luis Augusto Franco López</v>
          </cell>
          <cell r="BH101" t="str">
            <v>Antonio Rada</v>
          </cell>
          <cell r="BL101">
            <v>1</v>
          </cell>
          <cell r="BN101">
            <v>1</v>
          </cell>
          <cell r="BO101">
            <v>1181600</v>
          </cell>
          <cell r="BP101">
            <v>38.5</v>
          </cell>
        </row>
        <row r="102">
          <cell r="B102">
            <v>610</v>
          </cell>
          <cell r="C102" t="str">
            <v>C6</v>
          </cell>
          <cell r="D102">
            <v>55</v>
          </cell>
          <cell r="E102">
            <v>2</v>
          </cell>
          <cell r="F102">
            <v>1</v>
          </cell>
          <cell r="G102">
            <v>1.45</v>
          </cell>
          <cell r="I102">
            <v>1</v>
          </cell>
          <cell r="J102">
            <v>119</v>
          </cell>
          <cell r="K102">
            <v>120</v>
          </cell>
          <cell r="L102" t="str">
            <v>DIFERENTE</v>
          </cell>
          <cell r="M102" t="str">
            <v>S-5_392-393</v>
          </cell>
          <cell r="N102" t="str">
            <v>S5_392-393</v>
          </cell>
          <cell r="O102" t="str">
            <v>S5_281</v>
          </cell>
          <cell r="P102" t="str">
            <v>MISMO SÓTANO</v>
          </cell>
          <cell r="Q102">
            <v>13175</v>
          </cell>
          <cell r="R102">
            <v>1016090.76</v>
          </cell>
          <cell r="S102">
            <v>1110587.20068</v>
          </cell>
          <cell r="T102">
            <v>1016102.4702653248</v>
          </cell>
          <cell r="U102">
            <v>1110600</v>
          </cell>
          <cell r="V102">
            <v>55600</v>
          </cell>
          <cell r="W102">
            <v>1166200</v>
          </cell>
          <cell r="X102">
            <v>17493</v>
          </cell>
          <cell r="AA102">
            <v>1183693</v>
          </cell>
          <cell r="AC102">
            <v>1183693</v>
          </cell>
          <cell r="AF102">
            <v>1183693</v>
          </cell>
          <cell r="AH102">
            <v>0</v>
          </cell>
          <cell r="AI102">
            <v>1183693</v>
          </cell>
          <cell r="AN102">
            <v>1183693</v>
          </cell>
          <cell r="AO102">
            <v>1183700</v>
          </cell>
          <cell r="AP102">
            <v>1183693</v>
          </cell>
          <cell r="AQ102">
            <v>118369.3</v>
          </cell>
          <cell r="AR102">
            <v>10000</v>
          </cell>
          <cell r="AS102">
            <v>108369.3</v>
          </cell>
          <cell r="AT102">
            <v>1065323.7</v>
          </cell>
          <cell r="AU102">
            <v>7274.61279336609</v>
          </cell>
          <cell r="AV102">
            <v>568.5625114364135</v>
          </cell>
          <cell r="AW102">
            <v>345.24379166666671</v>
          </cell>
          <cell r="AX102">
            <v>8188.4190964691707</v>
          </cell>
          <cell r="AY102" t="e">
            <v>#REF!</v>
          </cell>
          <cell r="BF102" t="str">
            <v>PCV</v>
          </cell>
          <cell r="BG102" t="str">
            <v>Andrea Molina</v>
          </cell>
          <cell r="BH102" t="str">
            <v>Antonio Rada</v>
          </cell>
          <cell r="BL102">
            <v>1</v>
          </cell>
          <cell r="BN102">
            <v>1</v>
          </cell>
          <cell r="BO102">
            <v>1183700</v>
          </cell>
          <cell r="BP102">
            <v>7</v>
          </cell>
        </row>
        <row r="103">
          <cell r="B103">
            <v>611</v>
          </cell>
          <cell r="C103" t="str">
            <v>C5</v>
          </cell>
          <cell r="D103">
            <v>54.86</v>
          </cell>
          <cell r="E103">
            <v>2</v>
          </cell>
          <cell r="F103">
            <v>1</v>
          </cell>
          <cell r="G103">
            <v>1.45</v>
          </cell>
          <cell r="I103">
            <v>1</v>
          </cell>
          <cell r="J103">
            <v>116</v>
          </cell>
          <cell r="K103">
            <v>111</v>
          </cell>
          <cell r="L103" t="str">
            <v>DIFERENTE</v>
          </cell>
          <cell r="M103" t="str">
            <v>S-5_406-407</v>
          </cell>
          <cell r="N103" t="str">
            <v>S5_406-407</v>
          </cell>
          <cell r="O103" t="str">
            <v>S5_274</v>
          </cell>
          <cell r="P103" t="str">
            <v>MISMO SÓTANO</v>
          </cell>
          <cell r="Q103">
            <v>13175</v>
          </cell>
          <cell r="R103">
            <v>1014246.26</v>
          </cell>
          <cell r="S103">
            <v>1108571.16218</v>
          </cell>
          <cell r="T103">
            <v>1014272.6440988106</v>
          </cell>
          <cell r="U103">
            <v>1108600</v>
          </cell>
          <cell r="V103">
            <v>55500</v>
          </cell>
          <cell r="W103">
            <v>1164100</v>
          </cell>
          <cell r="X103">
            <v>17461.5</v>
          </cell>
          <cell r="AA103">
            <v>1181561.5</v>
          </cell>
          <cell r="AC103">
            <v>1181561.5</v>
          </cell>
          <cell r="AF103">
            <v>1181561.5</v>
          </cell>
          <cell r="AG103">
            <v>177234.22500000001</v>
          </cell>
          <cell r="AH103">
            <v>22650.973756309832</v>
          </cell>
          <cell r="AI103">
            <v>1381446.6987563099</v>
          </cell>
          <cell r="AN103">
            <v>1381446.6987563099</v>
          </cell>
          <cell r="AO103">
            <v>1381500</v>
          </cell>
          <cell r="AP103">
            <v>1381446.7</v>
          </cell>
          <cell r="AQ103">
            <v>138144.66987563099</v>
          </cell>
          <cell r="AR103">
            <v>10000</v>
          </cell>
          <cell r="AS103">
            <v>128144.66987563099</v>
          </cell>
          <cell r="AT103">
            <v>1243302.028880679</v>
          </cell>
          <cell r="AU103">
            <v>8489.9461499949757</v>
          </cell>
          <cell r="AV103">
            <v>663.54942072009396</v>
          </cell>
          <cell r="AW103">
            <v>402.92195380392377</v>
          </cell>
          <cell r="AX103">
            <v>9556.4175245189926</v>
          </cell>
          <cell r="AY103" t="e">
            <v>#REF!</v>
          </cell>
          <cell r="BF103" t="str">
            <v>PCV</v>
          </cell>
          <cell r="BG103" t="str">
            <v>Kenny Garay</v>
          </cell>
          <cell r="BH103" t="str">
            <v>Antonio Rada</v>
          </cell>
          <cell r="BI103">
            <v>45716</v>
          </cell>
          <cell r="BL103" t="str">
            <v>Referido</v>
          </cell>
          <cell r="BN103">
            <v>1</v>
          </cell>
          <cell r="BO103">
            <v>1181600</v>
          </cell>
          <cell r="BP103">
            <v>38.5</v>
          </cell>
        </row>
        <row r="104">
          <cell r="B104">
            <v>612</v>
          </cell>
          <cell r="C104" t="str">
            <v>A8</v>
          </cell>
          <cell r="D104">
            <v>35.94</v>
          </cell>
          <cell r="E104">
            <v>1</v>
          </cell>
          <cell r="G104">
            <v>1.49</v>
          </cell>
          <cell r="H104">
            <v>1</v>
          </cell>
          <cell r="L104" t="str">
            <v>IGUAL</v>
          </cell>
          <cell r="M104" t="str">
            <v>S-5_351</v>
          </cell>
          <cell r="N104" t="str">
            <v>S5_351</v>
          </cell>
          <cell r="O104" t="str">
            <v>S5_252</v>
          </cell>
          <cell r="P104" t="str">
            <v>MISMO SÓTANO</v>
          </cell>
          <cell r="Q104">
            <v>13368.75</v>
          </cell>
          <cell r="R104">
            <v>610051.78700000001</v>
          </cell>
          <cell r="S104">
            <v>666786.60319099994</v>
          </cell>
          <cell r="T104">
            <v>610064.04391582799</v>
          </cell>
          <cell r="U104">
            <v>666800</v>
          </cell>
          <cell r="V104">
            <v>36700</v>
          </cell>
          <cell r="W104">
            <v>703500</v>
          </cell>
          <cell r="X104">
            <v>24622.500000000004</v>
          </cell>
          <cell r="AA104">
            <v>728122.5</v>
          </cell>
          <cell r="AC104">
            <v>728122.5</v>
          </cell>
          <cell r="AF104">
            <v>728122.5</v>
          </cell>
          <cell r="AH104">
            <v>0</v>
          </cell>
          <cell r="AI104">
            <v>728122.5</v>
          </cell>
          <cell r="AJ104">
            <v>218436.75</v>
          </cell>
          <cell r="AK104">
            <v>10000</v>
          </cell>
          <cell r="AN104">
            <v>946559.25</v>
          </cell>
          <cell r="AO104">
            <v>946600</v>
          </cell>
          <cell r="AP104">
            <v>946600</v>
          </cell>
          <cell r="AQ104">
            <v>72812.25</v>
          </cell>
          <cell r="AR104">
            <v>10000</v>
          </cell>
          <cell r="AS104">
            <v>62812.25</v>
          </cell>
          <cell r="AT104">
            <v>655310.25</v>
          </cell>
          <cell r="AU104">
            <v>4474.8167418728508</v>
          </cell>
          <cell r="AV104">
            <v>349.73862076852691</v>
          </cell>
          <cell r="AW104">
            <v>212.36906250000001</v>
          </cell>
          <cell r="AX104">
            <v>5036.9244251413775</v>
          </cell>
          <cell r="AY104" t="e">
            <v>#REF!</v>
          </cell>
          <cell r="BF104" t="str">
            <v xml:space="preserve">PCV </v>
          </cell>
          <cell r="BG104" t="str">
            <v>Yonathan Morgan Acajabon</v>
          </cell>
          <cell r="BH104" t="str">
            <v>Anahi Cisneros</v>
          </cell>
          <cell r="BI104">
            <v>45907</v>
          </cell>
          <cell r="BL104" t="str">
            <v>Perfilan</v>
          </cell>
          <cell r="BN104">
            <v>1</v>
          </cell>
          <cell r="BO104">
            <v>703500</v>
          </cell>
          <cell r="BP104">
            <v>-24622.5</v>
          </cell>
        </row>
        <row r="105">
          <cell r="B105">
            <v>613</v>
          </cell>
          <cell r="C105" t="str">
            <v>A2</v>
          </cell>
          <cell r="D105">
            <v>34.9</v>
          </cell>
          <cell r="E105">
            <v>1</v>
          </cell>
          <cell r="G105">
            <v>1.49</v>
          </cell>
          <cell r="H105">
            <v>1</v>
          </cell>
          <cell r="L105" t="str">
            <v>IGUAL</v>
          </cell>
          <cell r="M105" t="str">
            <v>S-5_352</v>
          </cell>
          <cell r="N105" t="str">
            <v>S5_352</v>
          </cell>
          <cell r="O105" t="str">
            <v>S5_253</v>
          </cell>
          <cell r="P105" t="str">
            <v>MISMO SÓTANO</v>
          </cell>
          <cell r="Q105">
            <v>13368.75</v>
          </cell>
          <cell r="R105">
            <v>596148.28700000001</v>
          </cell>
          <cell r="S105">
            <v>651590.07769099995</v>
          </cell>
          <cell r="T105">
            <v>596157.36505032028</v>
          </cell>
          <cell r="U105">
            <v>651600</v>
          </cell>
          <cell r="V105">
            <v>35900</v>
          </cell>
          <cell r="W105">
            <v>687500</v>
          </cell>
          <cell r="AA105">
            <v>687500</v>
          </cell>
          <cell r="AC105">
            <v>687500</v>
          </cell>
          <cell r="AF105">
            <v>687500</v>
          </cell>
          <cell r="AH105">
            <v>0</v>
          </cell>
          <cell r="AI105">
            <v>687500</v>
          </cell>
          <cell r="AN105">
            <v>687500</v>
          </cell>
          <cell r="AO105">
            <v>687500</v>
          </cell>
          <cell r="AP105">
            <v>687500</v>
          </cell>
          <cell r="AQ105">
            <v>68750</v>
          </cell>
          <cell r="AR105">
            <v>10000</v>
          </cell>
          <cell r="AS105">
            <v>58750</v>
          </cell>
          <cell r="AT105">
            <v>618750</v>
          </cell>
          <cell r="AU105">
            <v>4225.1633619859094</v>
          </cell>
          <cell r="AV105">
            <v>330.22644098810611</v>
          </cell>
          <cell r="AW105">
            <v>200.52083333333334</v>
          </cell>
          <cell r="AX105">
            <v>4755.9106363073488</v>
          </cell>
          <cell r="AY105" t="e">
            <v>#REF!</v>
          </cell>
          <cell r="BF105" t="str">
            <v>PCV</v>
          </cell>
          <cell r="BG105" t="str">
            <v>Sergio Velasquez</v>
          </cell>
          <cell r="BH105" t="str">
            <v>Antonio Rada</v>
          </cell>
          <cell r="BL105">
            <v>1</v>
          </cell>
          <cell r="BM105">
            <v>1</v>
          </cell>
          <cell r="BN105">
            <v>1</v>
          </cell>
          <cell r="BO105">
            <v>687500</v>
          </cell>
          <cell r="BP105">
            <v>0</v>
          </cell>
        </row>
        <row r="106">
          <cell r="B106">
            <v>614</v>
          </cell>
          <cell r="C106" t="str">
            <v>E5</v>
          </cell>
          <cell r="D106">
            <v>74.260000000000005</v>
          </cell>
          <cell r="E106">
            <v>3</v>
          </cell>
          <cell r="F106">
            <v>1</v>
          </cell>
          <cell r="G106">
            <v>1.26</v>
          </cell>
          <cell r="I106">
            <v>1</v>
          </cell>
          <cell r="J106">
            <v>5</v>
          </cell>
          <cell r="K106">
            <v>5</v>
          </cell>
          <cell r="L106" t="str">
            <v>IGUAL</v>
          </cell>
          <cell r="M106" t="str">
            <v>S-1_12-13</v>
          </cell>
          <cell r="N106" t="str">
            <v>S1_12-13</v>
          </cell>
          <cell r="O106" t="str">
            <v>S1_5</v>
          </cell>
          <cell r="P106" t="str">
            <v>MISMO SÓTANO</v>
          </cell>
          <cell r="Q106">
            <v>12710</v>
          </cell>
          <cell r="R106">
            <v>1234088.888</v>
          </cell>
          <cell r="S106">
            <v>1348859.1545840001</v>
          </cell>
          <cell r="T106">
            <v>1234126.2580054896</v>
          </cell>
          <cell r="U106">
            <v>1348900</v>
          </cell>
          <cell r="V106">
            <v>33800</v>
          </cell>
          <cell r="W106">
            <v>1382700</v>
          </cell>
          <cell r="AA106">
            <v>1382700</v>
          </cell>
          <cell r="AC106">
            <v>1382700</v>
          </cell>
          <cell r="AD106">
            <v>55308</v>
          </cell>
          <cell r="AF106">
            <v>1438008</v>
          </cell>
          <cell r="AG106">
            <v>71900.400000000009</v>
          </cell>
          <cell r="AH106">
            <v>25170.005258020014</v>
          </cell>
          <cell r="AI106">
            <v>1535078.4052580199</v>
          </cell>
          <cell r="AJ106">
            <v>61403.136210320801</v>
          </cell>
          <cell r="AN106">
            <v>1596481.5414683407</v>
          </cell>
          <cell r="AO106">
            <v>1596500</v>
          </cell>
          <cell r="AP106">
            <v>1586247.04</v>
          </cell>
          <cell r="AQ106">
            <v>153507.84052580199</v>
          </cell>
          <cell r="AR106">
            <v>10000</v>
          </cell>
          <cell r="AS106">
            <v>143507.84052580199</v>
          </cell>
          <cell r="AT106">
            <v>1381570.5647322179</v>
          </cell>
          <cell r="AU106">
            <v>9434.1193246137354</v>
          </cell>
          <cell r="AV106">
            <v>737.34324131789606</v>
          </cell>
          <cell r="AW106">
            <v>447.73120153358917</v>
          </cell>
          <cell r="AX106">
            <v>10619.19376746522</v>
          </cell>
          <cell r="AY106" t="e">
            <v>#REF!</v>
          </cell>
          <cell r="BF106" t="str">
            <v>PCV</v>
          </cell>
          <cell r="BG106" t="str">
            <v>Thalia Raquel Carredano Tovar</v>
          </cell>
          <cell r="BH106" t="str">
            <v>Anahi Cisneros</v>
          </cell>
          <cell r="BI106">
            <v>45877</v>
          </cell>
          <cell r="BL106" t="str">
            <v>Perfilan</v>
          </cell>
          <cell r="BN106">
            <v>1</v>
          </cell>
          <cell r="BO106">
            <v>1382700</v>
          </cell>
          <cell r="BP106">
            <v>0</v>
          </cell>
        </row>
        <row r="107">
          <cell r="B107">
            <v>615</v>
          </cell>
          <cell r="C107" t="str">
            <v>A5</v>
          </cell>
          <cell r="D107">
            <v>32.57</v>
          </cell>
          <cell r="E107">
            <v>1</v>
          </cell>
          <cell r="G107">
            <v>1.49</v>
          </cell>
          <cell r="H107">
            <v>1</v>
          </cell>
          <cell r="L107" t="str">
            <v>IGUAL</v>
          </cell>
          <cell r="M107" t="str">
            <v>S-5_353</v>
          </cell>
          <cell r="N107" t="str">
            <v>S5_353</v>
          </cell>
          <cell r="O107" t="str">
            <v>S4_186</v>
          </cell>
          <cell r="P107" t="str">
            <v>DIFERENTE SÓTANO</v>
          </cell>
          <cell r="Q107">
            <v>13368.75</v>
          </cell>
          <cell r="R107">
            <v>564999.09950000001</v>
          </cell>
          <cell r="S107">
            <v>617544.01575350005</v>
          </cell>
          <cell r="T107">
            <v>565050.32021957915</v>
          </cell>
          <cell r="U107">
            <v>617600</v>
          </cell>
          <cell r="W107">
            <v>617600</v>
          </cell>
          <cell r="AA107">
            <v>617600</v>
          </cell>
          <cell r="AC107">
            <v>617600</v>
          </cell>
          <cell r="AF107">
            <v>617600</v>
          </cell>
          <cell r="AH107">
            <v>-5649.9909950000001</v>
          </cell>
          <cell r="AI107">
            <v>611950.009005</v>
          </cell>
          <cell r="AN107">
            <v>611950.009005</v>
          </cell>
          <cell r="AO107">
            <v>612000</v>
          </cell>
          <cell r="AP107">
            <v>611950.01</v>
          </cell>
          <cell r="AQ107">
            <v>61195.000900500003</v>
          </cell>
          <cell r="AR107">
            <v>10000</v>
          </cell>
          <cell r="AS107">
            <v>51195.000900500003</v>
          </cell>
          <cell r="AT107">
            <v>550755.00810450001</v>
          </cell>
          <cell r="AU107">
            <v>3760.856374421634</v>
          </cell>
          <cell r="AV107">
            <v>293.93756150743366</v>
          </cell>
          <cell r="AW107">
            <v>178.48541929312501</v>
          </cell>
          <cell r="AX107">
            <v>4233.2793552221929</v>
          </cell>
          <cell r="AY107" t="e">
            <v>#REF!</v>
          </cell>
          <cell r="BF107" t="str">
            <v>PCV</v>
          </cell>
          <cell r="BG107" t="str">
            <v>Marielos España</v>
          </cell>
          <cell r="BH107" t="str">
            <v>Antonio Rada</v>
          </cell>
          <cell r="BJ107">
            <v>1</v>
          </cell>
          <cell r="BO107">
            <v>612000</v>
          </cell>
          <cell r="BP107">
            <v>-5600</v>
          </cell>
        </row>
        <row r="108">
          <cell r="B108">
            <v>616</v>
          </cell>
          <cell r="C108" t="str">
            <v>B4</v>
          </cell>
          <cell r="D108">
            <v>49.77</v>
          </cell>
          <cell r="E108">
            <v>2</v>
          </cell>
          <cell r="G108">
            <v>1.49</v>
          </cell>
          <cell r="H108">
            <v>1</v>
          </cell>
          <cell r="L108" t="str">
            <v>IGUAL</v>
          </cell>
          <cell r="M108" t="str">
            <v>S-3_143</v>
          </cell>
          <cell r="N108" t="str">
            <v>S3_143</v>
          </cell>
          <cell r="O108" t="str">
            <v>S3_99</v>
          </cell>
          <cell r="P108" t="str">
            <v>MISMO SÓTANO</v>
          </cell>
          <cell r="Q108">
            <v>13175</v>
          </cell>
          <cell r="R108">
            <v>785298.66200000001</v>
          </cell>
          <cell r="S108">
            <v>858331.43756600004</v>
          </cell>
          <cell r="T108">
            <v>785361.39066788659</v>
          </cell>
          <cell r="U108">
            <v>858400</v>
          </cell>
          <cell r="V108">
            <v>43000</v>
          </cell>
          <cell r="W108">
            <v>901400</v>
          </cell>
          <cell r="AA108">
            <v>901400</v>
          </cell>
          <cell r="AC108">
            <v>901400</v>
          </cell>
          <cell r="AF108">
            <v>901400</v>
          </cell>
          <cell r="AH108">
            <v>0</v>
          </cell>
          <cell r="AI108">
            <v>901400</v>
          </cell>
          <cell r="AN108">
            <v>901400</v>
          </cell>
          <cell r="AO108">
            <v>901400</v>
          </cell>
          <cell r="AP108">
            <v>901400</v>
          </cell>
          <cell r="AQ108">
            <v>90140</v>
          </cell>
          <cell r="AR108">
            <v>10000</v>
          </cell>
          <cell r="AS108">
            <v>80140</v>
          </cell>
          <cell r="AT108">
            <v>811260</v>
          </cell>
          <cell r="AU108">
            <v>5539.7269156277798</v>
          </cell>
          <cell r="AV108">
            <v>432.96889295516917</v>
          </cell>
          <cell r="AW108">
            <v>262.90833333333336</v>
          </cell>
          <cell r="AX108">
            <v>6235.604141916283</v>
          </cell>
          <cell r="AY108" t="e">
            <v>#REF!</v>
          </cell>
          <cell r="BF108" t="str">
            <v>PCV</v>
          </cell>
          <cell r="BG108" t="str">
            <v>Edwin Estuardo Acevedo</v>
          </cell>
          <cell r="BH108" t="str">
            <v>Antonio Rada</v>
          </cell>
          <cell r="BL108">
            <v>1</v>
          </cell>
          <cell r="BN108">
            <v>1</v>
          </cell>
          <cell r="BO108">
            <v>901400</v>
          </cell>
          <cell r="BP108">
            <v>0</v>
          </cell>
        </row>
        <row r="109">
          <cell r="B109">
            <v>617</v>
          </cell>
          <cell r="C109" t="str">
            <v>B3</v>
          </cell>
          <cell r="D109">
            <v>48.96</v>
          </cell>
          <cell r="E109">
            <v>2</v>
          </cell>
          <cell r="G109">
            <v>1.26</v>
          </cell>
          <cell r="H109">
            <v>1</v>
          </cell>
          <cell r="L109" t="str">
            <v>IGUAL</v>
          </cell>
          <cell r="M109" t="str">
            <v>S-3_144</v>
          </cell>
          <cell r="N109" t="str">
            <v>S3_144</v>
          </cell>
          <cell r="O109" t="str">
            <v>S3_100</v>
          </cell>
          <cell r="P109" t="str">
            <v>MISMO SÓTANO</v>
          </cell>
          <cell r="Q109">
            <v>13175</v>
          </cell>
          <cell r="R109">
            <v>773148.28799999994</v>
          </cell>
          <cell r="S109">
            <v>845051.0787839999</v>
          </cell>
          <cell r="T109">
            <v>773193.04666056728</v>
          </cell>
          <cell r="U109">
            <v>845100</v>
          </cell>
          <cell r="V109">
            <v>42300</v>
          </cell>
          <cell r="W109">
            <v>887400</v>
          </cell>
          <cell r="AA109">
            <v>887400</v>
          </cell>
          <cell r="AC109">
            <v>887400</v>
          </cell>
          <cell r="AF109">
            <v>887400</v>
          </cell>
          <cell r="AH109">
            <v>0</v>
          </cell>
          <cell r="AI109">
            <v>887400</v>
          </cell>
          <cell r="AN109">
            <v>887400</v>
          </cell>
          <cell r="AO109">
            <v>887400</v>
          </cell>
          <cell r="AP109">
            <v>887400</v>
          </cell>
          <cell r="AQ109">
            <v>88740</v>
          </cell>
          <cell r="AR109">
            <v>10000</v>
          </cell>
          <cell r="AS109">
            <v>78740</v>
          </cell>
          <cell r="AT109">
            <v>798660</v>
          </cell>
          <cell r="AU109">
            <v>5453.6872253473384</v>
          </cell>
          <cell r="AV109">
            <v>426.24428179322962</v>
          </cell>
          <cell r="AW109">
            <v>258.82499999999999</v>
          </cell>
          <cell r="AX109">
            <v>6138.7565071405679</v>
          </cell>
          <cell r="AY109" t="e">
            <v>#REF!</v>
          </cell>
          <cell r="BF109" t="str">
            <v>PCV</v>
          </cell>
          <cell r="BG109" t="str">
            <v>Hans Christian Beeck Cazali</v>
          </cell>
          <cell r="BH109" t="str">
            <v>Antonio Rada</v>
          </cell>
          <cell r="BK109">
            <v>1</v>
          </cell>
          <cell r="BN109">
            <v>1</v>
          </cell>
          <cell r="BO109">
            <v>887400</v>
          </cell>
          <cell r="BP109">
            <v>0</v>
          </cell>
        </row>
        <row r="110">
          <cell r="B110">
            <v>618</v>
          </cell>
          <cell r="C110" t="str">
            <v>E9</v>
          </cell>
          <cell r="D110">
            <v>72.2</v>
          </cell>
          <cell r="E110">
            <v>3</v>
          </cell>
          <cell r="F110">
            <v>1</v>
          </cell>
          <cell r="G110">
            <v>1.26</v>
          </cell>
          <cell r="I110">
            <v>1</v>
          </cell>
          <cell r="J110">
            <v>6</v>
          </cell>
          <cell r="K110">
            <v>6</v>
          </cell>
          <cell r="L110" t="str">
            <v>IGUAL</v>
          </cell>
          <cell r="M110" t="str">
            <v>S-1_14-15</v>
          </cell>
          <cell r="N110" t="str">
            <v>S1_14-15</v>
          </cell>
          <cell r="O110" t="str">
            <v>S1_6</v>
          </cell>
          <cell r="P110" t="str">
            <v>MISMO SÓTANO</v>
          </cell>
          <cell r="Q110">
            <v>12710</v>
          </cell>
          <cell r="R110">
            <v>1207906.2879999999</v>
          </cell>
          <cell r="S110">
            <v>1320241.5727839998</v>
          </cell>
          <cell r="T110">
            <v>1207959.7438243367</v>
          </cell>
          <cell r="U110">
            <v>1320300</v>
          </cell>
          <cell r="V110">
            <v>33100</v>
          </cell>
          <cell r="W110">
            <v>1353400</v>
          </cell>
          <cell r="AA110">
            <v>1353400</v>
          </cell>
          <cell r="AC110">
            <v>1353400</v>
          </cell>
          <cell r="AD110">
            <v>54136</v>
          </cell>
          <cell r="AF110">
            <v>1407536</v>
          </cell>
          <cell r="AG110">
            <v>70376.800000000003</v>
          </cell>
          <cell r="AH110">
            <v>24636.642161139986</v>
          </cell>
          <cell r="AI110">
            <v>1502549.44216114</v>
          </cell>
          <cell r="AN110">
            <v>1502549.44216114</v>
          </cell>
          <cell r="AO110">
            <v>1502600</v>
          </cell>
          <cell r="AP110">
            <v>1502549.44</v>
          </cell>
          <cell r="AQ110">
            <v>150254.944216114</v>
          </cell>
          <cell r="AR110">
            <v>10000</v>
          </cell>
          <cell r="AS110">
            <v>140254.944216114</v>
          </cell>
          <cell r="AT110">
            <v>1352294.497945026</v>
          </cell>
          <cell r="AU110">
            <v>9234.2063310423491</v>
          </cell>
          <cell r="AV110">
            <v>721.71862500878171</v>
          </cell>
          <cell r="AW110">
            <v>438.24358729699924</v>
          </cell>
          <cell r="AX110">
            <v>10394.168543348131</v>
          </cell>
          <cell r="AY110" t="e">
            <v>#REF!</v>
          </cell>
          <cell r="BF110" t="str">
            <v>PCV</v>
          </cell>
          <cell r="BG110" t="str">
            <v>Sergio Adolfo García Velasquez</v>
          </cell>
          <cell r="BH110" t="str">
            <v xml:space="preserve">Antonio Rada </v>
          </cell>
          <cell r="BI110">
            <v>45772</v>
          </cell>
          <cell r="BL110" t="str">
            <v>PBX</v>
          </cell>
          <cell r="BN110">
            <v>1</v>
          </cell>
          <cell r="BO110">
            <v>1353400</v>
          </cell>
          <cell r="BP110">
            <v>0</v>
          </cell>
        </row>
        <row r="111">
          <cell r="B111">
            <v>619</v>
          </cell>
          <cell r="C111" t="str">
            <v>E10</v>
          </cell>
          <cell r="D111">
            <v>72.510000000000005</v>
          </cell>
          <cell r="E111">
            <v>3</v>
          </cell>
          <cell r="F111">
            <v>1</v>
          </cell>
          <cell r="G111">
            <v>3.99</v>
          </cell>
          <cell r="I111">
            <v>1</v>
          </cell>
          <cell r="J111">
            <v>7</v>
          </cell>
          <cell r="K111">
            <v>7</v>
          </cell>
          <cell r="L111" t="str">
            <v>IGUAL</v>
          </cell>
          <cell r="M111" t="str">
            <v>S-1_16-17</v>
          </cell>
          <cell r="N111" t="str">
            <v>S1_16-17</v>
          </cell>
          <cell r="O111" t="str">
            <v>S1_7</v>
          </cell>
          <cell r="P111" t="str">
            <v>MISMO SÓTANO</v>
          </cell>
          <cell r="Q111">
            <v>12710</v>
          </cell>
          <cell r="R111">
            <v>1229397.0120000001</v>
          </cell>
          <cell r="S111">
            <v>1343730.9341160001</v>
          </cell>
          <cell r="T111">
            <v>1229460.2012808784</v>
          </cell>
          <cell r="U111">
            <v>1343800</v>
          </cell>
          <cell r="V111">
            <v>33600</v>
          </cell>
          <cell r="W111">
            <v>1377400</v>
          </cell>
          <cell r="AA111">
            <v>1377400</v>
          </cell>
          <cell r="AC111">
            <v>1377400</v>
          </cell>
          <cell r="AD111">
            <v>55096</v>
          </cell>
          <cell r="AF111">
            <v>1432496</v>
          </cell>
          <cell r="AG111">
            <v>71624.800000000003</v>
          </cell>
          <cell r="AH111">
            <v>25073.526609099936</v>
          </cell>
          <cell r="AI111">
            <v>1529194.3266091</v>
          </cell>
          <cell r="AN111">
            <v>1529194.3266091</v>
          </cell>
          <cell r="AO111">
            <v>1529200</v>
          </cell>
          <cell r="AP111">
            <v>1529194.33</v>
          </cell>
          <cell r="AQ111">
            <v>152919.43266091001</v>
          </cell>
          <cell r="AR111">
            <v>10000</v>
          </cell>
          <cell r="AS111">
            <v>142919.43266091001</v>
          </cell>
          <cell r="AT111">
            <v>1376274.8939481899</v>
          </cell>
          <cell r="AU111">
            <v>9397.9575885752474</v>
          </cell>
          <cell r="AV111">
            <v>734.51694553502045</v>
          </cell>
          <cell r="AW111">
            <v>446.01501192765414</v>
          </cell>
          <cell r="AX111">
            <v>10578.489546037923</v>
          </cell>
          <cell r="AY111" t="e">
            <v>#REF!</v>
          </cell>
          <cell r="BF111" t="str">
            <v>PCV</v>
          </cell>
          <cell r="BG111" t="str">
            <v>Jose Estuardo Ordoñez Cancinos</v>
          </cell>
          <cell r="BH111" t="str">
            <v>Sofia Paredes</v>
          </cell>
          <cell r="BI111">
            <v>45724</v>
          </cell>
          <cell r="BL111" t="str">
            <v>Pagina Web</v>
          </cell>
          <cell r="BN111">
            <v>1</v>
          </cell>
          <cell r="BO111">
            <v>1377400</v>
          </cell>
          <cell r="BP111">
            <v>0</v>
          </cell>
        </row>
        <row r="112">
          <cell r="B112">
            <v>701</v>
          </cell>
          <cell r="C112" t="str">
            <v>E9</v>
          </cell>
          <cell r="D112">
            <v>72.2</v>
          </cell>
          <cell r="E112">
            <v>3</v>
          </cell>
          <cell r="F112">
            <v>1</v>
          </cell>
          <cell r="G112">
            <v>1.26</v>
          </cell>
          <cell r="I112">
            <v>1</v>
          </cell>
          <cell r="J112">
            <v>8</v>
          </cell>
          <cell r="K112">
            <v>8</v>
          </cell>
          <cell r="L112" t="str">
            <v>IGUAL</v>
          </cell>
          <cell r="M112" t="str">
            <v>S-1_18-19</v>
          </cell>
          <cell r="N112" t="str">
            <v>S1_18-19</v>
          </cell>
          <cell r="O112" t="str">
            <v>S1_8</v>
          </cell>
          <cell r="P112" t="str">
            <v>MISMO SÓTANO</v>
          </cell>
          <cell r="Q112">
            <v>12710</v>
          </cell>
          <cell r="R112">
            <v>1207906.2879999999</v>
          </cell>
          <cell r="S112">
            <v>1320241.5727839998</v>
          </cell>
          <cell r="T112">
            <v>1207959.7438243367</v>
          </cell>
          <cell r="U112">
            <v>1320300</v>
          </cell>
          <cell r="W112">
            <v>1320300</v>
          </cell>
          <cell r="AA112">
            <v>1320300</v>
          </cell>
          <cell r="AC112">
            <v>1320300</v>
          </cell>
          <cell r="AF112">
            <v>1320300</v>
          </cell>
          <cell r="AH112">
            <v>0</v>
          </cell>
          <cell r="AI112">
            <v>1320300</v>
          </cell>
          <cell r="AN112">
            <v>1320300</v>
          </cell>
          <cell r="AO112">
            <v>1320300</v>
          </cell>
          <cell r="AP112">
            <v>1320300</v>
          </cell>
          <cell r="AQ112">
            <v>132030</v>
          </cell>
          <cell r="AR112">
            <v>10000</v>
          </cell>
          <cell r="AS112">
            <v>122030</v>
          </cell>
          <cell r="AT112">
            <v>1188270</v>
          </cell>
          <cell r="AU112">
            <v>8114.1573626618119</v>
          </cell>
          <cell r="AV112">
            <v>634.17886550777666</v>
          </cell>
          <cell r="AW112">
            <v>385.08750000000003</v>
          </cell>
          <cell r="AX112">
            <v>9133.4237281695878</v>
          </cell>
          <cell r="AY112" t="e">
            <v>#REF!</v>
          </cell>
          <cell r="BF112" t="str">
            <v>PCV</v>
          </cell>
          <cell r="BG112" t="str">
            <v>Alejandra Velásquez</v>
          </cell>
          <cell r="BH112" t="str">
            <v>Antonio Rada</v>
          </cell>
          <cell r="BL112">
            <v>1</v>
          </cell>
          <cell r="BM112">
            <v>1</v>
          </cell>
          <cell r="BN112">
            <v>1</v>
          </cell>
          <cell r="BO112">
            <v>1320300</v>
          </cell>
          <cell r="BP112">
            <v>0</v>
          </cell>
        </row>
        <row r="113">
          <cell r="B113">
            <v>702</v>
          </cell>
          <cell r="C113" t="str">
            <v>E10</v>
          </cell>
          <cell r="D113">
            <v>72.510000000000005</v>
          </cell>
          <cell r="E113">
            <v>3</v>
          </cell>
          <cell r="F113">
            <v>1</v>
          </cell>
          <cell r="G113">
            <v>3.99</v>
          </cell>
          <cell r="I113">
            <v>1</v>
          </cell>
          <cell r="J113">
            <v>9</v>
          </cell>
          <cell r="K113">
            <v>9</v>
          </cell>
          <cell r="L113" t="str">
            <v>IGUAL</v>
          </cell>
          <cell r="M113" t="str">
            <v>S-1_20-21</v>
          </cell>
          <cell r="N113" t="str">
            <v>S1_20-21</v>
          </cell>
          <cell r="O113" t="str">
            <v>S1_9</v>
          </cell>
          <cell r="P113" t="str">
            <v>MISMO SÓTANO</v>
          </cell>
          <cell r="Q113">
            <v>12710</v>
          </cell>
          <cell r="R113">
            <v>1229397.0120000001</v>
          </cell>
          <cell r="S113">
            <v>1343730.9341160001</v>
          </cell>
          <cell r="T113">
            <v>1229460.2012808784</v>
          </cell>
          <cell r="U113">
            <v>1343800</v>
          </cell>
          <cell r="V113">
            <v>33600</v>
          </cell>
          <cell r="W113">
            <v>1377400</v>
          </cell>
          <cell r="AA113">
            <v>1377400</v>
          </cell>
          <cell r="AC113">
            <v>1377400</v>
          </cell>
          <cell r="AF113">
            <v>1377400</v>
          </cell>
          <cell r="AH113">
            <v>-33600</v>
          </cell>
          <cell r="AI113">
            <v>1343800</v>
          </cell>
          <cell r="AN113">
            <v>1343800</v>
          </cell>
          <cell r="AO113">
            <v>1343800</v>
          </cell>
          <cell r="AP113">
            <v>1343800</v>
          </cell>
          <cell r="AQ113">
            <v>134380</v>
          </cell>
          <cell r="AR113">
            <v>10000</v>
          </cell>
          <cell r="AS113">
            <v>124380</v>
          </cell>
          <cell r="AT113">
            <v>1209420</v>
          </cell>
          <cell r="AU113">
            <v>8258.5811284896936</v>
          </cell>
          <cell r="AV113">
            <v>645.46660567246113</v>
          </cell>
          <cell r="AW113">
            <v>391.94166666666666</v>
          </cell>
          <cell r="AX113">
            <v>9295.9894008288229</v>
          </cell>
          <cell r="AY113" t="e">
            <v>#REF!</v>
          </cell>
          <cell r="BF113" t="str">
            <v>PCV</v>
          </cell>
          <cell r="BG113" t="str">
            <v>Wilson Felix</v>
          </cell>
          <cell r="BH113" t="str">
            <v>Antonio Rada</v>
          </cell>
          <cell r="BL113">
            <v>1</v>
          </cell>
          <cell r="BN113">
            <v>1</v>
          </cell>
          <cell r="BO113">
            <v>1377400</v>
          </cell>
          <cell r="BP113">
            <v>0</v>
          </cell>
        </row>
        <row r="114">
          <cell r="B114">
            <v>703</v>
          </cell>
          <cell r="C114" t="str">
            <v>B4</v>
          </cell>
          <cell r="D114">
            <v>49.77</v>
          </cell>
          <cell r="E114">
            <v>2</v>
          </cell>
          <cell r="G114">
            <v>1.49</v>
          </cell>
          <cell r="H114">
            <v>1</v>
          </cell>
          <cell r="L114" t="str">
            <v>IGUAL</v>
          </cell>
          <cell r="M114" t="str">
            <v>S-3_145</v>
          </cell>
          <cell r="N114" t="str">
            <v>S3_145</v>
          </cell>
          <cell r="O114" t="str">
            <v>S3_101</v>
          </cell>
          <cell r="P114" t="str">
            <v>MISMO SÓTANO</v>
          </cell>
          <cell r="Q114">
            <v>13175</v>
          </cell>
          <cell r="R114">
            <v>785298.66200000001</v>
          </cell>
          <cell r="S114">
            <v>858331.43756600004</v>
          </cell>
          <cell r="T114">
            <v>785361.39066788659</v>
          </cell>
          <cell r="U114">
            <v>858400</v>
          </cell>
          <cell r="V114">
            <v>43000</v>
          </cell>
          <cell r="W114">
            <v>901400</v>
          </cell>
          <cell r="AA114">
            <v>901400</v>
          </cell>
          <cell r="AC114">
            <v>901400</v>
          </cell>
          <cell r="AF114">
            <v>901400</v>
          </cell>
          <cell r="AH114">
            <v>0</v>
          </cell>
          <cell r="AI114">
            <v>901400</v>
          </cell>
          <cell r="AN114">
            <v>901400</v>
          </cell>
          <cell r="AO114">
            <v>901400</v>
          </cell>
          <cell r="AP114">
            <v>901400</v>
          </cell>
          <cell r="AQ114">
            <v>90140</v>
          </cell>
          <cell r="AR114">
            <v>10000</v>
          </cell>
          <cell r="AS114">
            <v>80140</v>
          </cell>
          <cell r="AT114">
            <v>811260</v>
          </cell>
          <cell r="AU114">
            <v>5539.7269156277798</v>
          </cell>
          <cell r="AV114">
            <v>432.96889295516917</v>
          </cell>
          <cell r="AW114">
            <v>262.90833333333336</v>
          </cell>
          <cell r="AX114">
            <v>6235.604141916283</v>
          </cell>
          <cell r="AY114" t="e">
            <v>#REF!</v>
          </cell>
          <cell r="BF114" t="str">
            <v>PCV</v>
          </cell>
          <cell r="BG114" t="str">
            <v>Daniel Santos</v>
          </cell>
          <cell r="BH114" t="str">
            <v>Antonio Rada</v>
          </cell>
          <cell r="BL114">
            <v>1</v>
          </cell>
          <cell r="BN114">
            <v>1</v>
          </cell>
          <cell r="BO114">
            <v>901400</v>
          </cell>
          <cell r="BP114">
            <v>0</v>
          </cell>
        </row>
        <row r="115">
          <cell r="B115">
            <v>704</v>
          </cell>
          <cell r="C115" t="str">
            <v>B3</v>
          </cell>
          <cell r="D115">
            <v>48.96</v>
          </cell>
          <cell r="E115">
            <v>2</v>
          </cell>
          <cell r="G115">
            <v>1.26</v>
          </cell>
          <cell r="H115">
            <v>1</v>
          </cell>
          <cell r="L115" t="str">
            <v>IGUAL</v>
          </cell>
          <cell r="M115" t="str">
            <v>S-3_146</v>
          </cell>
          <cell r="N115" t="str">
            <v>S3_146</v>
          </cell>
          <cell r="O115" t="str">
            <v>S3_102</v>
          </cell>
          <cell r="P115" t="str">
            <v>MISMO SÓTANO</v>
          </cell>
          <cell r="Q115">
            <v>13175</v>
          </cell>
          <cell r="R115">
            <v>773148.28799999994</v>
          </cell>
          <cell r="S115">
            <v>845051.0787839999</v>
          </cell>
          <cell r="T115">
            <v>773193.04666056728</v>
          </cell>
          <cell r="U115">
            <v>845100</v>
          </cell>
          <cell r="V115">
            <v>42300</v>
          </cell>
          <cell r="W115">
            <v>887400</v>
          </cell>
          <cell r="AA115">
            <v>887400</v>
          </cell>
          <cell r="AC115">
            <v>887400</v>
          </cell>
          <cell r="AF115">
            <v>887400</v>
          </cell>
          <cell r="AH115">
            <v>0</v>
          </cell>
          <cell r="AI115">
            <v>887400</v>
          </cell>
          <cell r="AN115">
            <v>887400</v>
          </cell>
          <cell r="AO115">
            <v>887400</v>
          </cell>
          <cell r="AP115">
            <v>887400</v>
          </cell>
          <cell r="AQ115">
            <v>88740</v>
          </cell>
          <cell r="AR115">
            <v>10000</v>
          </cell>
          <cell r="AS115">
            <v>78740</v>
          </cell>
          <cell r="AT115">
            <v>798660</v>
          </cell>
          <cell r="AU115">
            <v>5453.6872253473384</v>
          </cell>
          <cell r="AV115">
            <v>426.24428179322962</v>
          </cell>
          <cell r="AW115">
            <v>258.82499999999999</v>
          </cell>
          <cell r="AX115">
            <v>6138.7565071405679</v>
          </cell>
          <cell r="AY115" t="e">
            <v>#REF!</v>
          </cell>
          <cell r="BF115" t="str">
            <v>PCV</v>
          </cell>
          <cell r="BG115" t="str">
            <v>Dania Dulcidia Gutierrez Villeda</v>
          </cell>
          <cell r="BH115" t="str">
            <v>Antonio Rada</v>
          </cell>
          <cell r="BL115">
            <v>1</v>
          </cell>
          <cell r="BO115">
            <v>887400</v>
          </cell>
          <cell r="BP115">
            <v>0</v>
          </cell>
        </row>
        <row r="116">
          <cell r="B116">
            <v>705</v>
          </cell>
          <cell r="C116" t="str">
            <v>D9</v>
          </cell>
          <cell r="D116">
            <v>68.91</v>
          </cell>
          <cell r="E116">
            <v>3</v>
          </cell>
          <cell r="F116">
            <v>1</v>
          </cell>
          <cell r="G116">
            <v>1.47</v>
          </cell>
          <cell r="I116">
            <v>1</v>
          </cell>
          <cell r="J116">
            <v>76</v>
          </cell>
          <cell r="K116">
            <v>78</v>
          </cell>
          <cell r="L116" t="str">
            <v>DIFERENTE</v>
          </cell>
          <cell r="M116" t="str">
            <v>S-4_276-277</v>
          </cell>
          <cell r="N116" t="str">
            <v>S4_276-277</v>
          </cell>
          <cell r="O116" t="str">
            <v>S4_202</v>
          </cell>
          <cell r="P116" t="str">
            <v>MISMO SÓTANO</v>
          </cell>
          <cell r="Q116">
            <v>12710</v>
          </cell>
          <cell r="R116">
            <v>1167440.436</v>
          </cell>
          <cell r="S116">
            <v>1276012.3965479999</v>
          </cell>
          <cell r="T116">
            <v>1167520.5855443734</v>
          </cell>
          <cell r="U116">
            <v>1276100</v>
          </cell>
          <cell r="V116">
            <v>32000</v>
          </cell>
          <cell r="W116">
            <v>1308100</v>
          </cell>
          <cell r="AA116">
            <v>1308100</v>
          </cell>
          <cell r="AC116">
            <v>1308100</v>
          </cell>
          <cell r="AF116">
            <v>1308100</v>
          </cell>
          <cell r="AG116">
            <v>65405</v>
          </cell>
          <cell r="AH116">
            <v>22896.175736170029</v>
          </cell>
          <cell r="AI116">
            <v>1396401.17573617</v>
          </cell>
          <cell r="AN116">
            <v>1396401.17573617</v>
          </cell>
          <cell r="AO116">
            <v>1396500</v>
          </cell>
          <cell r="AP116">
            <v>1396401.18</v>
          </cell>
          <cell r="AQ116">
            <v>139640.117573617</v>
          </cell>
          <cell r="AR116">
            <v>10000</v>
          </cell>
          <cell r="AS116">
            <v>129640.117573617</v>
          </cell>
          <cell r="AT116">
            <v>1256761.058162553</v>
          </cell>
          <cell r="AU116">
            <v>8581.8517619701979</v>
          </cell>
          <cell r="AV116">
            <v>670.73249520721799</v>
          </cell>
          <cell r="AW116">
            <v>407.28367625638293</v>
          </cell>
          <cell r="AX116">
            <v>9659.8679334337976</v>
          </cell>
          <cell r="AY116" t="e">
            <v>#REF!</v>
          </cell>
          <cell r="BF116" t="str">
            <v>PCV</v>
          </cell>
          <cell r="BG116" t="str">
            <v>Ingrid Lisbeth Dubon García de Díaz</v>
          </cell>
          <cell r="BH116" t="str">
            <v>Antonio Rada</v>
          </cell>
          <cell r="BI116">
            <v>45699</v>
          </cell>
          <cell r="BL116" t="str">
            <v>FB Lead</v>
          </cell>
          <cell r="BN116">
            <v>1</v>
          </cell>
          <cell r="BO116">
            <v>1308100</v>
          </cell>
          <cell r="BP116">
            <v>0</v>
          </cell>
        </row>
        <row r="117">
          <cell r="B117">
            <v>706</v>
          </cell>
          <cell r="C117" t="str">
            <v>D8</v>
          </cell>
          <cell r="D117">
            <v>69.31</v>
          </cell>
          <cell r="E117">
            <v>3</v>
          </cell>
          <cell r="F117">
            <v>1</v>
          </cell>
          <cell r="G117">
            <v>1.5</v>
          </cell>
          <cell r="I117">
            <v>1</v>
          </cell>
          <cell r="J117">
            <v>77</v>
          </cell>
          <cell r="K117">
            <v>79</v>
          </cell>
          <cell r="L117" t="str">
            <v>DIFERENTE</v>
          </cell>
          <cell r="M117" t="str">
            <v>S-4_278-279</v>
          </cell>
          <cell r="N117" t="str">
            <v>S4_278-279</v>
          </cell>
          <cell r="O117" t="str">
            <v>S4_203</v>
          </cell>
          <cell r="P117" t="str">
            <v>MISMO SÓTANO</v>
          </cell>
          <cell r="Q117">
            <v>12710</v>
          </cell>
          <cell r="R117">
            <v>1172717.2999999998</v>
          </cell>
          <cell r="S117">
            <v>1281780.0088999998</v>
          </cell>
          <cell r="T117">
            <v>1172735.5901189388</v>
          </cell>
          <cell r="U117">
            <v>1281800</v>
          </cell>
          <cell r="V117">
            <v>32100</v>
          </cell>
          <cell r="W117">
            <v>1313900</v>
          </cell>
          <cell r="AA117">
            <v>1313900</v>
          </cell>
          <cell r="AC117">
            <v>1313900</v>
          </cell>
          <cell r="AF117">
            <v>1313900</v>
          </cell>
          <cell r="AG117">
            <v>65695</v>
          </cell>
          <cell r="AH117">
            <v>22997.695359490113</v>
          </cell>
          <cell r="AI117">
            <v>1402592.6953594901</v>
          </cell>
          <cell r="AN117">
            <v>1402592.6953594901</v>
          </cell>
          <cell r="AO117">
            <v>1402600</v>
          </cell>
          <cell r="AP117">
            <v>1402592.7</v>
          </cell>
          <cell r="AQ117">
            <v>140259.26953594902</v>
          </cell>
          <cell r="AR117">
            <v>10000</v>
          </cell>
          <cell r="AS117">
            <v>130259.26953594902</v>
          </cell>
          <cell r="AT117">
            <v>1262333.4258235411</v>
          </cell>
          <cell r="AU117">
            <v>8619.9029355956081</v>
          </cell>
          <cell r="AV117">
            <v>673.70646391924276</v>
          </cell>
          <cell r="AW117">
            <v>409.08953614651796</v>
          </cell>
          <cell r="AX117">
            <v>9702.6989356613685</v>
          </cell>
          <cell r="AY117" t="e">
            <v>#REF!</v>
          </cell>
          <cell r="BF117" t="str">
            <v>PCV</v>
          </cell>
          <cell r="BG117" t="str">
            <v>Edison Gabriel Ramirez López</v>
          </cell>
          <cell r="BH117" t="str">
            <v xml:space="preserve">Antonio Rada </v>
          </cell>
          <cell r="BI117">
            <v>45728</v>
          </cell>
          <cell r="BL117" t="str">
            <v>Pagina Web</v>
          </cell>
          <cell r="BN117">
            <v>1</v>
          </cell>
          <cell r="BO117">
            <v>1313900</v>
          </cell>
          <cell r="BP117">
            <v>0</v>
          </cell>
        </row>
        <row r="118">
          <cell r="B118">
            <v>707</v>
          </cell>
          <cell r="C118" t="str">
            <v>A12</v>
          </cell>
          <cell r="D118">
            <v>37.17</v>
          </cell>
          <cell r="E118">
            <v>1</v>
          </cell>
          <cell r="G118">
            <v>1.55</v>
          </cell>
          <cell r="H118">
            <v>1</v>
          </cell>
          <cell r="L118" t="str">
            <v>IGUAL</v>
          </cell>
          <cell r="M118" t="str">
            <v>S-5_354</v>
          </cell>
          <cell r="N118" t="str">
            <v>S5_354</v>
          </cell>
          <cell r="O118" t="str">
            <v>S5_255</v>
          </cell>
          <cell r="P118" t="str">
            <v>MISMO SÓTANO</v>
          </cell>
          <cell r="Q118">
            <v>13368.75</v>
          </cell>
          <cell r="R118">
            <v>626881.07750000001</v>
          </cell>
          <cell r="S118">
            <v>685181.01770750002</v>
          </cell>
          <cell r="T118">
            <v>626898.4446477585</v>
          </cell>
          <cell r="U118">
            <v>685200</v>
          </cell>
          <cell r="V118">
            <v>37700</v>
          </cell>
          <cell r="W118">
            <v>722900</v>
          </cell>
          <cell r="AA118">
            <v>722900</v>
          </cell>
          <cell r="AC118">
            <v>722900</v>
          </cell>
          <cell r="AF118">
            <v>722900</v>
          </cell>
          <cell r="AG118">
            <v>36145</v>
          </cell>
          <cell r="AH118">
            <v>30000</v>
          </cell>
          <cell r="AI118">
            <v>789045</v>
          </cell>
          <cell r="AN118">
            <v>789045</v>
          </cell>
          <cell r="AO118">
            <v>789100</v>
          </cell>
          <cell r="AP118">
            <v>789045</v>
          </cell>
          <cell r="AQ118">
            <v>78904.5</v>
          </cell>
          <cell r="AR118">
            <v>10000</v>
          </cell>
          <cell r="AS118">
            <v>68904.5</v>
          </cell>
          <cell r="AT118">
            <v>710140.5</v>
          </cell>
          <cell r="AU118">
            <v>4849.2276726664313</v>
          </cell>
          <cell r="AV118">
            <v>379.00148673376026</v>
          </cell>
          <cell r="AW118">
            <v>230.13812500000003</v>
          </cell>
          <cell r="AX118">
            <v>5458.3672844001921</v>
          </cell>
          <cell r="AY118" t="e">
            <v>#REF!</v>
          </cell>
          <cell r="BF118" t="str">
            <v>PCV</v>
          </cell>
          <cell r="BG118" t="str">
            <v>Christian Escobar</v>
          </cell>
          <cell r="BH118" t="str">
            <v>Sofia Paredes</v>
          </cell>
          <cell r="BI118">
            <v>45751</v>
          </cell>
          <cell r="BL118" t="str">
            <v>FB Lead</v>
          </cell>
          <cell r="BN118">
            <v>1</v>
          </cell>
          <cell r="BO118">
            <v>722900</v>
          </cell>
          <cell r="BP118">
            <v>0</v>
          </cell>
        </row>
        <row r="119">
          <cell r="B119">
            <v>708</v>
          </cell>
          <cell r="C119" t="str">
            <v>C6</v>
          </cell>
          <cell r="D119">
            <v>55</v>
          </cell>
          <cell r="E119">
            <v>2</v>
          </cell>
          <cell r="F119">
            <v>1</v>
          </cell>
          <cell r="G119">
            <v>1.45</v>
          </cell>
          <cell r="I119">
            <v>1</v>
          </cell>
          <cell r="J119">
            <v>108</v>
          </cell>
          <cell r="K119">
            <v>109</v>
          </cell>
          <cell r="L119" t="str">
            <v>DIFERENTE</v>
          </cell>
          <cell r="M119" t="str">
            <v>S-5_374-375</v>
          </cell>
          <cell r="N119" t="str">
            <v>S5_374-375</v>
          </cell>
          <cell r="O119" t="str">
            <v>S5_272</v>
          </cell>
          <cell r="P119" t="str">
            <v>MISMO SÓTANO</v>
          </cell>
          <cell r="Q119">
            <v>13175</v>
          </cell>
          <cell r="R119">
            <v>1016090.76</v>
          </cell>
          <cell r="S119">
            <v>1110587.20068</v>
          </cell>
          <cell r="T119">
            <v>1016102.4702653248</v>
          </cell>
          <cell r="U119">
            <v>1110600</v>
          </cell>
          <cell r="V119">
            <v>55600</v>
          </cell>
          <cell r="W119">
            <v>1166200</v>
          </cell>
          <cell r="X119">
            <v>17461.5</v>
          </cell>
          <cell r="AA119">
            <v>1183661.5</v>
          </cell>
          <cell r="AC119">
            <v>1183693</v>
          </cell>
          <cell r="AF119">
            <v>1183693</v>
          </cell>
          <cell r="AH119">
            <v>0</v>
          </cell>
          <cell r="AI119">
            <v>1183693</v>
          </cell>
          <cell r="AN119">
            <v>1183693</v>
          </cell>
          <cell r="AO119">
            <v>1183700</v>
          </cell>
          <cell r="AP119">
            <v>1183693</v>
          </cell>
          <cell r="AQ119">
            <v>118369.3</v>
          </cell>
          <cell r="AR119">
            <v>10000</v>
          </cell>
          <cell r="AS119">
            <v>108369.3</v>
          </cell>
          <cell r="AT119">
            <v>1065323.7</v>
          </cell>
          <cell r="AU119">
            <v>7274.61279336609</v>
          </cell>
          <cell r="AV119">
            <v>568.5625114364135</v>
          </cell>
          <cell r="AW119">
            <v>345.24379166666671</v>
          </cell>
          <cell r="AX119">
            <v>8188.4190964691707</v>
          </cell>
          <cell r="AY119" t="e">
            <v>#REF!</v>
          </cell>
          <cell r="BF119" t="str">
            <v>PCV</v>
          </cell>
          <cell r="BG119" t="str">
            <v>Astrid Marie Valencia Miranda</v>
          </cell>
          <cell r="BH119" t="str">
            <v>Antonio Rada</v>
          </cell>
          <cell r="BL119">
            <v>1</v>
          </cell>
          <cell r="BN119">
            <v>1</v>
          </cell>
          <cell r="BO119">
            <v>1166200</v>
          </cell>
          <cell r="BP119">
            <v>-17461.5</v>
          </cell>
        </row>
        <row r="120">
          <cell r="B120">
            <v>709</v>
          </cell>
          <cell r="C120" t="str">
            <v>C5</v>
          </cell>
          <cell r="D120">
            <v>54.86</v>
          </cell>
          <cell r="E120">
            <v>2</v>
          </cell>
          <cell r="F120">
            <v>1</v>
          </cell>
          <cell r="G120">
            <v>1.45</v>
          </cell>
          <cell r="I120">
            <v>1</v>
          </cell>
          <cell r="J120">
            <v>106</v>
          </cell>
          <cell r="K120">
            <v>107</v>
          </cell>
          <cell r="L120" t="str">
            <v>DIFERENTE</v>
          </cell>
          <cell r="M120" t="str">
            <v>S-5_370-371</v>
          </cell>
          <cell r="N120" t="str">
            <v>S5_370-371</v>
          </cell>
          <cell r="O120" t="str">
            <v>S5_270</v>
          </cell>
          <cell r="P120" t="str">
            <v>MISMO SÓTANO</v>
          </cell>
          <cell r="Q120">
            <v>13175</v>
          </cell>
          <cell r="R120">
            <v>1014246.26</v>
          </cell>
          <cell r="S120">
            <v>1108571.16218</v>
          </cell>
          <cell r="T120">
            <v>1014272.6440988106</v>
          </cell>
          <cell r="U120">
            <v>1108600</v>
          </cell>
          <cell r="V120">
            <v>55500</v>
          </cell>
          <cell r="W120">
            <v>1164100</v>
          </cell>
          <cell r="X120">
            <v>17461.5</v>
          </cell>
          <cell r="AA120">
            <v>1181561.5</v>
          </cell>
          <cell r="AC120">
            <v>1181561.5</v>
          </cell>
          <cell r="AF120">
            <v>1181561.5</v>
          </cell>
          <cell r="AG120">
            <v>177234.22500000001</v>
          </cell>
          <cell r="AH120">
            <v>22650.973756309832</v>
          </cell>
          <cell r="AI120">
            <v>1381446.6987563099</v>
          </cell>
          <cell r="AJ120">
            <v>124330.20288806788</v>
          </cell>
          <cell r="AK120">
            <v>10000</v>
          </cell>
          <cell r="AM120">
            <v>153000</v>
          </cell>
          <cell r="AN120">
            <v>1362776.9016443777</v>
          </cell>
          <cell r="AO120">
            <v>1362800</v>
          </cell>
          <cell r="AP120">
            <v>1362800</v>
          </cell>
          <cell r="AQ120">
            <v>138144.66987563099</v>
          </cell>
          <cell r="AR120">
            <v>10000</v>
          </cell>
          <cell r="AS120">
            <v>128144.66987563099</v>
          </cell>
          <cell r="AT120">
            <v>1243302.028880679</v>
          </cell>
          <cell r="AU120">
            <v>8489.9461499949757</v>
          </cell>
          <cell r="AV120">
            <v>663.54942072009396</v>
          </cell>
          <cell r="AW120">
            <v>402.92195380392377</v>
          </cell>
          <cell r="AX120">
            <v>9556.4175245189926</v>
          </cell>
          <cell r="AY120" t="e">
            <v>#REF!</v>
          </cell>
          <cell r="BF120" t="str">
            <v>PCV</v>
          </cell>
          <cell r="BG120" t="str">
            <v>Manuel Lizandro Ramírez Barrios</v>
          </cell>
          <cell r="BH120" t="str">
            <v>Anahi Cisneros</v>
          </cell>
          <cell r="BI120">
            <v>45998</v>
          </cell>
          <cell r="BL120" t="str">
            <v>Valla Publicitaria</v>
          </cell>
          <cell r="BN120">
            <v>1</v>
          </cell>
          <cell r="BO120">
            <v>1164100</v>
          </cell>
          <cell r="BP120">
            <v>-17461.5</v>
          </cell>
        </row>
        <row r="121">
          <cell r="B121">
            <v>710</v>
          </cell>
          <cell r="C121" t="str">
            <v>C6</v>
          </cell>
          <cell r="D121">
            <v>55</v>
          </cell>
          <cell r="E121">
            <v>2</v>
          </cell>
          <cell r="F121">
            <v>1</v>
          </cell>
          <cell r="G121">
            <v>1.45</v>
          </cell>
          <cell r="I121">
            <v>1</v>
          </cell>
          <cell r="J121">
            <v>121</v>
          </cell>
          <cell r="K121">
            <v>122</v>
          </cell>
          <cell r="L121" t="str">
            <v>DIFERENTE</v>
          </cell>
          <cell r="M121" t="str">
            <v>S-5_396-397</v>
          </cell>
          <cell r="N121" t="str">
            <v>S5_396-397</v>
          </cell>
          <cell r="O121" t="str">
            <v>S5_283</v>
          </cell>
          <cell r="P121" t="str">
            <v>MISMO SÓTANO</v>
          </cell>
          <cell r="Q121">
            <v>13175</v>
          </cell>
          <cell r="R121">
            <v>1016090.76</v>
          </cell>
          <cell r="S121">
            <v>1110587.20068</v>
          </cell>
          <cell r="T121">
            <v>1016102.4702653248</v>
          </cell>
          <cell r="U121">
            <v>1110600</v>
          </cell>
          <cell r="V121">
            <v>55600</v>
          </cell>
          <cell r="W121">
            <v>1166200</v>
          </cell>
          <cell r="AA121">
            <v>1166200</v>
          </cell>
          <cell r="AC121">
            <v>1166200</v>
          </cell>
          <cell r="AF121">
            <v>1166200</v>
          </cell>
          <cell r="AH121">
            <v>19440.424420390045</v>
          </cell>
          <cell r="AI121">
            <v>1185640.42442039</v>
          </cell>
          <cell r="AN121">
            <v>1185640.42442039</v>
          </cell>
          <cell r="AO121">
            <v>1185700</v>
          </cell>
          <cell r="AP121">
            <v>1185640.42</v>
          </cell>
          <cell r="AQ121">
            <v>118564.042442039</v>
          </cell>
          <cell r="AR121">
            <v>10000</v>
          </cell>
          <cell r="AS121">
            <v>108564.042442039</v>
          </cell>
          <cell r="AT121">
            <v>1067076.3819783512</v>
          </cell>
          <cell r="AU121">
            <v>7286.581064364299</v>
          </cell>
          <cell r="AV121">
            <v>569.49791657886988</v>
          </cell>
          <cell r="AW121">
            <v>345.81179045594712</v>
          </cell>
          <cell r="AX121">
            <v>8201.8907713991157</v>
          </cell>
          <cell r="AY121" t="e">
            <v>#REF!</v>
          </cell>
          <cell r="BF121" t="str">
            <v>Congelado Junta Directiva</v>
          </cell>
          <cell r="BG121" t="str">
            <v xml:space="preserve">Carlos Yon </v>
          </cell>
          <cell r="BH121" t="str">
            <v>Brenda Búcaro</v>
          </cell>
          <cell r="BI121">
            <v>45202</v>
          </cell>
          <cell r="BO121">
            <v>1166200</v>
          </cell>
          <cell r="BP121">
            <v>0</v>
          </cell>
        </row>
        <row r="122">
          <cell r="B122">
            <v>711</v>
          </cell>
          <cell r="C122" t="str">
            <v>C5</v>
          </cell>
          <cell r="D122">
            <v>54.86</v>
          </cell>
          <cell r="E122">
            <v>2</v>
          </cell>
          <cell r="F122">
            <v>1</v>
          </cell>
          <cell r="G122">
            <v>1.45</v>
          </cell>
          <cell r="I122">
            <v>1</v>
          </cell>
          <cell r="J122">
            <v>81</v>
          </cell>
          <cell r="K122">
            <v>83</v>
          </cell>
          <cell r="L122" t="str">
            <v>DIFERENTE</v>
          </cell>
          <cell r="M122" t="str">
            <v>S-4_286-287</v>
          </cell>
          <cell r="N122" t="str">
            <v>S4_286-287</v>
          </cell>
          <cell r="O122" t="str">
            <v>S4_207</v>
          </cell>
          <cell r="P122" t="str">
            <v>MISMO SÓTANO</v>
          </cell>
          <cell r="Q122">
            <v>13175</v>
          </cell>
          <cell r="R122">
            <v>1014246.26</v>
          </cell>
          <cell r="S122">
            <v>1108571.16218</v>
          </cell>
          <cell r="T122">
            <v>1014272.6440988106</v>
          </cell>
          <cell r="U122">
            <v>1108600</v>
          </cell>
          <cell r="V122">
            <v>55500</v>
          </cell>
          <cell r="W122">
            <v>1164100</v>
          </cell>
          <cell r="X122">
            <v>17461.5</v>
          </cell>
          <cell r="AA122">
            <v>1181561.5</v>
          </cell>
          <cell r="AC122">
            <v>1181561.5</v>
          </cell>
          <cell r="AF122">
            <v>1181561.5</v>
          </cell>
          <cell r="AH122">
            <v>22650.973756309832</v>
          </cell>
          <cell r="AI122">
            <v>1204212.4737563098</v>
          </cell>
          <cell r="AN122">
            <v>1204212.4737563098</v>
          </cell>
          <cell r="AO122">
            <v>1204300</v>
          </cell>
          <cell r="AP122">
            <v>1204212.47</v>
          </cell>
          <cell r="AQ122">
            <v>120421.24737563099</v>
          </cell>
          <cell r="AR122">
            <v>10000</v>
          </cell>
          <cell r="AS122">
            <v>110421.24737563099</v>
          </cell>
          <cell r="AT122">
            <v>1083791.2263806788</v>
          </cell>
          <cell r="AU122">
            <v>7400.7191624168408</v>
          </cell>
          <cell r="AV122">
            <v>578.41861731204256</v>
          </cell>
          <cell r="AW122">
            <v>351.22863817892375</v>
          </cell>
          <cell r="AX122">
            <v>8330.3664179078078</v>
          </cell>
          <cell r="AY122" t="e">
            <v>#REF!</v>
          </cell>
          <cell r="BF122" t="str">
            <v>PCV</v>
          </cell>
          <cell r="BG122" t="str">
            <v>Samuel David Chavez Perez</v>
          </cell>
          <cell r="BH122" t="str">
            <v>Diana Alvarez</v>
          </cell>
          <cell r="BI122">
            <v>45626</v>
          </cell>
          <cell r="BL122" t="str">
            <v>FB Lead</v>
          </cell>
          <cell r="BN122">
            <v>1</v>
          </cell>
          <cell r="BO122">
            <v>1164100</v>
          </cell>
          <cell r="BP122">
            <v>-17461.5</v>
          </cell>
        </row>
        <row r="123">
          <cell r="B123">
            <v>712</v>
          </cell>
          <cell r="C123" t="str">
            <v>A8</v>
          </cell>
          <cell r="D123">
            <v>35.94</v>
          </cell>
          <cell r="E123">
            <v>1</v>
          </cell>
          <cell r="G123">
            <v>1.49</v>
          </cell>
          <cell r="H123">
            <v>1</v>
          </cell>
          <cell r="L123" t="str">
            <v>IGUAL</v>
          </cell>
          <cell r="M123" t="str">
            <v>S-5_355</v>
          </cell>
          <cell r="N123" t="str">
            <v>S5_355</v>
          </cell>
          <cell r="O123" t="str">
            <v>S5_256</v>
          </cell>
          <cell r="P123" t="str">
            <v>MISMO SÓTANO</v>
          </cell>
          <cell r="Q123">
            <v>13368.75</v>
          </cell>
          <cell r="R123">
            <v>610051.78700000001</v>
          </cell>
          <cell r="S123">
            <v>666786.60319099994</v>
          </cell>
          <cell r="T123">
            <v>610064.04391582799</v>
          </cell>
          <cell r="U123">
            <v>666800</v>
          </cell>
          <cell r="V123">
            <v>36700</v>
          </cell>
          <cell r="W123">
            <v>703500</v>
          </cell>
          <cell r="AA123">
            <v>703500</v>
          </cell>
          <cell r="AC123">
            <v>703500</v>
          </cell>
          <cell r="AF123">
            <v>703500</v>
          </cell>
          <cell r="AH123">
            <v>0</v>
          </cell>
          <cell r="AI123">
            <v>703500</v>
          </cell>
          <cell r="AN123">
            <v>703500</v>
          </cell>
          <cell r="AO123">
            <v>703500</v>
          </cell>
          <cell r="AP123">
            <v>703500</v>
          </cell>
          <cell r="AQ123">
            <v>70350</v>
          </cell>
          <cell r="AR123">
            <v>10000</v>
          </cell>
          <cell r="AS123">
            <v>60350</v>
          </cell>
          <cell r="AT123">
            <v>633150</v>
          </cell>
          <cell r="AU123">
            <v>4323.4944365921265</v>
          </cell>
          <cell r="AV123">
            <v>337.91171088746563</v>
          </cell>
          <cell r="AW123">
            <v>205.1875</v>
          </cell>
          <cell r="AX123">
            <v>4866.5936474795917</v>
          </cell>
          <cell r="AY123" t="e">
            <v>#REF!</v>
          </cell>
          <cell r="BF123" t="str">
            <v>PCV</v>
          </cell>
          <cell r="BG123" t="str">
            <v>Edgar Sepulveda</v>
          </cell>
          <cell r="BH123" t="str">
            <v>Antonio Rada</v>
          </cell>
          <cell r="BL123">
            <v>1</v>
          </cell>
          <cell r="BN123">
            <v>1</v>
          </cell>
          <cell r="BO123">
            <v>703500</v>
          </cell>
          <cell r="BP123">
            <v>0</v>
          </cell>
        </row>
        <row r="124">
          <cell r="B124">
            <v>713</v>
          </cell>
          <cell r="C124" t="str">
            <v>A2</v>
          </cell>
          <cell r="D124">
            <v>34.9</v>
          </cell>
          <cell r="E124">
            <v>1</v>
          </cell>
          <cell r="G124">
            <v>1.49</v>
          </cell>
          <cell r="H124">
            <v>1</v>
          </cell>
          <cell r="L124" t="str">
            <v>IGUAL</v>
          </cell>
          <cell r="M124" t="str">
            <v>S-5_713</v>
          </cell>
          <cell r="N124" t="str">
            <v>S5_713</v>
          </cell>
          <cell r="O124" t="str">
            <v>S5_257</v>
          </cell>
          <cell r="P124" t="str">
            <v>MISMO SÓTANO</v>
          </cell>
          <cell r="Q124">
            <v>13368.75</v>
          </cell>
          <cell r="R124">
            <v>596148.28700000001</v>
          </cell>
          <cell r="S124">
            <v>651590.07769099995</v>
          </cell>
          <cell r="T124">
            <v>596157.36505032028</v>
          </cell>
          <cell r="U124">
            <v>651600</v>
          </cell>
          <cell r="V124">
            <v>35900</v>
          </cell>
          <cell r="W124">
            <v>687500</v>
          </cell>
          <cell r="AA124">
            <v>687500</v>
          </cell>
          <cell r="AC124">
            <v>687500</v>
          </cell>
          <cell r="AF124">
            <v>687500</v>
          </cell>
          <cell r="AH124">
            <v>0</v>
          </cell>
          <cell r="AI124">
            <v>687500</v>
          </cell>
          <cell r="AN124">
            <v>687500</v>
          </cell>
          <cell r="AO124">
            <v>687500</v>
          </cell>
          <cell r="AP124">
            <v>687500</v>
          </cell>
          <cell r="AQ124">
            <v>68750</v>
          </cell>
          <cell r="AR124">
            <v>10000</v>
          </cell>
          <cell r="AS124">
            <v>58750</v>
          </cell>
          <cell r="AT124">
            <v>618750</v>
          </cell>
          <cell r="AU124">
            <v>4225.1633619859094</v>
          </cell>
          <cell r="AV124">
            <v>330.22644098810611</v>
          </cell>
          <cell r="AW124">
            <v>200.52083333333334</v>
          </cell>
          <cell r="AX124">
            <v>4755.9106363073488</v>
          </cell>
          <cell r="AY124" t="e">
            <v>#REF!</v>
          </cell>
          <cell r="BF124" t="str">
            <v>PCV</v>
          </cell>
          <cell r="BG124" t="str">
            <v>Luis Pérez</v>
          </cell>
          <cell r="BH124" t="str">
            <v>Antonio Rada</v>
          </cell>
          <cell r="BL124">
            <v>1</v>
          </cell>
          <cell r="BN124">
            <v>1</v>
          </cell>
          <cell r="BO124">
            <v>687500</v>
          </cell>
          <cell r="BP124">
            <v>0</v>
          </cell>
        </row>
        <row r="125">
          <cell r="B125">
            <v>714</v>
          </cell>
          <cell r="C125" t="str">
            <v>E5</v>
          </cell>
          <cell r="D125">
            <v>74.260000000000005</v>
          </cell>
          <cell r="E125">
            <v>3</v>
          </cell>
          <cell r="F125">
            <v>1</v>
          </cell>
          <cell r="G125">
            <v>1.26</v>
          </cell>
          <cell r="I125">
            <v>1</v>
          </cell>
          <cell r="J125">
            <v>10</v>
          </cell>
          <cell r="K125">
            <v>10</v>
          </cell>
          <cell r="L125" t="str">
            <v>IGUAL</v>
          </cell>
          <cell r="M125" t="str">
            <v>S-1_22-23</v>
          </cell>
          <cell r="N125" t="str">
            <v>S1_22-23</v>
          </cell>
          <cell r="O125" t="str">
            <v>S1_10</v>
          </cell>
          <cell r="P125" t="str">
            <v>MISMO SÓTANO</v>
          </cell>
          <cell r="Q125">
            <v>12710</v>
          </cell>
          <cell r="R125">
            <v>1234088.888</v>
          </cell>
          <cell r="S125">
            <v>1348859.1545840001</v>
          </cell>
          <cell r="T125">
            <v>1234126.2580054896</v>
          </cell>
          <cell r="U125">
            <v>1348900</v>
          </cell>
          <cell r="V125">
            <v>33800</v>
          </cell>
          <cell r="W125">
            <v>1382700</v>
          </cell>
          <cell r="AA125">
            <v>1382700</v>
          </cell>
          <cell r="AC125">
            <v>1382700</v>
          </cell>
          <cell r="AD125">
            <v>55308</v>
          </cell>
          <cell r="AF125">
            <v>1438008</v>
          </cell>
          <cell r="AH125">
            <v>0</v>
          </cell>
          <cell r="AI125">
            <v>1438008</v>
          </cell>
          <cell r="AN125">
            <v>1438008</v>
          </cell>
          <cell r="AO125">
            <v>1438100</v>
          </cell>
          <cell r="AP125">
            <v>1438008</v>
          </cell>
          <cell r="AQ125">
            <v>143800.80000000002</v>
          </cell>
          <cell r="AR125">
            <v>10000</v>
          </cell>
          <cell r="AS125">
            <v>133800.80000000002</v>
          </cell>
          <cell r="AT125">
            <v>1294207.2</v>
          </cell>
          <cell r="AU125">
            <v>8837.5544957711027</v>
          </cell>
          <cell r="AV125">
            <v>690.71747483989009</v>
          </cell>
          <cell r="AW125">
            <v>419.41900000000004</v>
          </cell>
          <cell r="AX125">
            <v>9947.6909706109927</v>
          </cell>
          <cell r="AY125" t="e">
            <v>#REF!</v>
          </cell>
          <cell r="BF125" t="str">
            <v>PCV</v>
          </cell>
          <cell r="BG125" t="str">
            <v>Jose Carlos Samayoa San Jose</v>
          </cell>
          <cell r="BH125" t="str">
            <v>Antonio Rada</v>
          </cell>
          <cell r="BL125">
            <v>1</v>
          </cell>
          <cell r="BN125">
            <v>1</v>
          </cell>
          <cell r="BO125">
            <v>1382700</v>
          </cell>
          <cell r="BP125">
            <v>0</v>
          </cell>
        </row>
        <row r="126">
          <cell r="B126">
            <v>715</v>
          </cell>
          <cell r="C126" t="str">
            <v>A5</v>
          </cell>
          <cell r="D126">
            <v>32.57</v>
          </cell>
          <cell r="E126">
            <v>1</v>
          </cell>
          <cell r="G126">
            <v>1.49</v>
          </cell>
          <cell r="H126">
            <v>1</v>
          </cell>
          <cell r="L126" t="str">
            <v>IGUAL</v>
          </cell>
          <cell r="M126" t="str">
            <v>S-5_715</v>
          </cell>
          <cell r="N126" t="str">
            <v>S5_715</v>
          </cell>
          <cell r="O126" t="str">
            <v>S5_258</v>
          </cell>
          <cell r="P126" t="str">
            <v>MISMO SÓTANO</v>
          </cell>
          <cell r="Q126">
            <v>13368.75</v>
          </cell>
          <cell r="R126">
            <v>564999.09950000001</v>
          </cell>
          <cell r="S126">
            <v>617544.01575350005</v>
          </cell>
          <cell r="T126">
            <v>565050.32021957915</v>
          </cell>
          <cell r="U126">
            <v>617600</v>
          </cell>
          <cell r="W126">
            <v>617600</v>
          </cell>
          <cell r="AA126">
            <v>617600</v>
          </cell>
          <cell r="AC126">
            <v>617600</v>
          </cell>
          <cell r="AF126">
            <v>617600</v>
          </cell>
          <cell r="AH126">
            <v>0</v>
          </cell>
          <cell r="AI126">
            <v>617600</v>
          </cell>
          <cell r="AN126">
            <v>617600</v>
          </cell>
          <cell r="AO126">
            <v>617600</v>
          </cell>
          <cell r="AP126">
            <v>617600</v>
          </cell>
          <cell r="AQ126">
            <v>61760</v>
          </cell>
          <cell r="AR126">
            <v>10000</v>
          </cell>
          <cell r="AS126">
            <v>51760</v>
          </cell>
          <cell r="AT126">
            <v>555840</v>
          </cell>
          <cell r="AU126">
            <v>3795.5794797999961</v>
          </cell>
          <cell r="AV126">
            <v>296.651418115279</v>
          </cell>
          <cell r="AW126">
            <v>180.13333333333333</v>
          </cell>
          <cell r="AX126">
            <v>4272.3642312486081</v>
          </cell>
          <cell r="AY126" t="e">
            <v>#REF!</v>
          </cell>
          <cell r="BF126" t="str">
            <v>PCV</v>
          </cell>
          <cell r="BG126" t="str">
            <v>Cinthya Coronado</v>
          </cell>
          <cell r="BH126" t="str">
            <v>Brenda Búcaro</v>
          </cell>
          <cell r="BL126">
            <v>1</v>
          </cell>
          <cell r="BM126">
            <v>1</v>
          </cell>
          <cell r="BN126">
            <v>1</v>
          </cell>
          <cell r="BO126">
            <v>617600</v>
          </cell>
          <cell r="BP126">
            <v>0</v>
          </cell>
        </row>
        <row r="127">
          <cell r="B127">
            <v>716</v>
          </cell>
          <cell r="C127" t="str">
            <v>B4</v>
          </cell>
          <cell r="D127">
            <v>49.77</v>
          </cell>
          <cell r="E127">
            <v>2</v>
          </cell>
          <cell r="G127">
            <v>1.49</v>
          </cell>
          <cell r="H127">
            <v>1</v>
          </cell>
          <cell r="L127" t="str">
            <v>IGUAL</v>
          </cell>
          <cell r="M127" t="str">
            <v>S-3_147</v>
          </cell>
          <cell r="N127" t="str">
            <v>S3_147</v>
          </cell>
          <cell r="O127" t="str">
            <v>S3_103</v>
          </cell>
          <cell r="P127" t="str">
            <v>MISMO SÓTANO</v>
          </cell>
          <cell r="Q127">
            <v>13175</v>
          </cell>
          <cell r="R127">
            <v>785298.66200000001</v>
          </cell>
          <cell r="S127">
            <v>858331.43756600004</v>
          </cell>
          <cell r="T127">
            <v>785361.39066788659</v>
          </cell>
          <cell r="U127">
            <v>858400</v>
          </cell>
          <cell r="V127">
            <v>43000</v>
          </cell>
          <cell r="W127">
            <v>901400</v>
          </cell>
          <cell r="AA127">
            <v>901400</v>
          </cell>
          <cell r="AC127">
            <v>901400</v>
          </cell>
          <cell r="AF127">
            <v>901400</v>
          </cell>
          <cell r="AH127">
            <v>0</v>
          </cell>
          <cell r="AI127">
            <v>901400</v>
          </cell>
          <cell r="AN127">
            <v>901400</v>
          </cell>
          <cell r="AO127">
            <v>901400</v>
          </cell>
          <cell r="AP127">
            <v>901400</v>
          </cell>
          <cell r="AQ127">
            <v>90140</v>
          </cell>
          <cell r="AR127">
            <v>10000</v>
          </cell>
          <cell r="AS127">
            <v>80140</v>
          </cell>
          <cell r="AT127">
            <v>811260</v>
          </cell>
          <cell r="AU127">
            <v>5539.7269156277798</v>
          </cell>
          <cell r="AV127">
            <v>432.96889295516917</v>
          </cell>
          <cell r="AW127">
            <v>262.90833333333336</v>
          </cell>
          <cell r="AX127">
            <v>6235.604141916283</v>
          </cell>
          <cell r="AY127" t="e">
            <v>#REF!</v>
          </cell>
          <cell r="BF127" t="str">
            <v>PCV</v>
          </cell>
          <cell r="BG127" t="str">
            <v>Lisvet Maricela Sance Alvarez</v>
          </cell>
          <cell r="BH127" t="str">
            <v>Antonio Rada</v>
          </cell>
          <cell r="BL127">
            <v>1</v>
          </cell>
          <cell r="BN127">
            <v>1</v>
          </cell>
          <cell r="BO127">
            <v>901400</v>
          </cell>
          <cell r="BP127">
            <v>0</v>
          </cell>
        </row>
        <row r="128">
          <cell r="B128">
            <v>717</v>
          </cell>
          <cell r="C128" t="str">
            <v>B3</v>
          </cell>
          <cell r="D128">
            <v>48.96</v>
          </cell>
          <cell r="E128">
            <v>2</v>
          </cell>
          <cell r="G128">
            <v>1.26</v>
          </cell>
          <cell r="H128">
            <v>1</v>
          </cell>
          <cell r="L128" t="str">
            <v>IGUAL</v>
          </cell>
          <cell r="M128" t="str">
            <v>S-3_148</v>
          </cell>
          <cell r="N128" t="str">
            <v>S3_148</v>
          </cell>
          <cell r="O128" t="str">
            <v>S3_104</v>
          </cell>
          <cell r="P128" t="str">
            <v>MISMO SÓTANO</v>
          </cell>
          <cell r="Q128">
            <v>13175</v>
          </cell>
          <cell r="R128">
            <v>773148.28799999994</v>
          </cell>
          <cell r="S128">
            <v>845051.0787839999</v>
          </cell>
          <cell r="T128">
            <v>773193.04666056728</v>
          </cell>
          <cell r="U128">
            <v>845100</v>
          </cell>
          <cell r="V128">
            <v>42300</v>
          </cell>
          <cell r="W128">
            <v>887400</v>
          </cell>
          <cell r="AA128">
            <v>887400</v>
          </cell>
          <cell r="AC128">
            <v>887400</v>
          </cell>
          <cell r="AF128">
            <v>887400</v>
          </cell>
          <cell r="AH128">
            <v>0</v>
          </cell>
          <cell r="AI128">
            <v>887400</v>
          </cell>
          <cell r="AN128">
            <v>887400</v>
          </cell>
          <cell r="AO128">
            <v>887400</v>
          </cell>
          <cell r="AP128">
            <v>887400</v>
          </cell>
          <cell r="AQ128">
            <v>88740</v>
          </cell>
          <cell r="AR128">
            <v>10000</v>
          </cell>
          <cell r="AS128">
            <v>78740</v>
          </cell>
          <cell r="AT128">
            <v>798660</v>
          </cell>
          <cell r="AU128">
            <v>5453.6872253473384</v>
          </cell>
          <cell r="AV128">
            <v>426.24428179322962</v>
          </cell>
          <cell r="AW128">
            <v>258.82499999999999</v>
          </cell>
          <cell r="AX128">
            <v>6138.7565071405679</v>
          </cell>
          <cell r="AY128" t="e">
            <v>#REF!</v>
          </cell>
          <cell r="BF128" t="str">
            <v>PCV</v>
          </cell>
          <cell r="BG128" t="str">
            <v>Jorge Diaz Duran</v>
          </cell>
          <cell r="BH128" t="str">
            <v>Antonio Rada</v>
          </cell>
          <cell r="BK128">
            <v>1</v>
          </cell>
          <cell r="BN128">
            <v>1</v>
          </cell>
          <cell r="BO128">
            <v>887400</v>
          </cell>
          <cell r="BP128">
            <v>0</v>
          </cell>
        </row>
        <row r="129">
          <cell r="B129">
            <v>718</v>
          </cell>
          <cell r="C129" t="str">
            <v>E9</v>
          </cell>
          <cell r="D129">
            <v>72.2</v>
          </cell>
          <cell r="E129">
            <v>3</v>
          </cell>
          <cell r="F129">
            <v>1</v>
          </cell>
          <cell r="G129">
            <v>1.26</v>
          </cell>
          <cell r="I129">
            <v>1</v>
          </cell>
          <cell r="J129">
            <v>11</v>
          </cell>
          <cell r="K129">
            <v>11</v>
          </cell>
          <cell r="L129" t="str">
            <v>IGUAL</v>
          </cell>
          <cell r="M129" t="str">
            <v>S-1_24-25</v>
          </cell>
          <cell r="N129" t="str">
            <v>S1_24-25</v>
          </cell>
          <cell r="O129" t="str">
            <v>S1_11</v>
          </cell>
          <cell r="P129" t="str">
            <v>MISMO SÓTANO</v>
          </cell>
          <cell r="Q129">
            <v>12710</v>
          </cell>
          <cell r="R129">
            <v>1207906.2879999999</v>
          </cell>
          <cell r="S129">
            <v>1320241.5727839998</v>
          </cell>
          <cell r="T129">
            <v>1207959.7438243367</v>
          </cell>
          <cell r="U129">
            <v>1320300</v>
          </cell>
          <cell r="V129">
            <v>33100</v>
          </cell>
          <cell r="W129">
            <v>1353400</v>
          </cell>
          <cell r="AA129">
            <v>1353400</v>
          </cell>
          <cell r="AC129">
            <v>1353400</v>
          </cell>
          <cell r="AD129">
            <v>54136</v>
          </cell>
          <cell r="AF129">
            <v>1407536</v>
          </cell>
          <cell r="AG129">
            <v>70376.800000000003</v>
          </cell>
          <cell r="AH129">
            <v>24636.642161139986</v>
          </cell>
          <cell r="AI129">
            <v>1502549.44216114</v>
          </cell>
          <cell r="AK129">
            <v>10000</v>
          </cell>
          <cell r="AM129">
            <v>75000</v>
          </cell>
          <cell r="AN129">
            <v>1437549.44216114</v>
          </cell>
          <cell r="AO129">
            <v>1437600</v>
          </cell>
          <cell r="AQ129">
            <v>150254.944216114</v>
          </cell>
          <cell r="AR129">
            <v>10000</v>
          </cell>
          <cell r="AS129">
            <v>140254.944216114</v>
          </cell>
          <cell r="AT129">
            <v>1352294.497945026</v>
          </cell>
          <cell r="AU129">
            <v>9234.2063310423491</v>
          </cell>
          <cell r="AV129">
            <v>721.71862500878171</v>
          </cell>
          <cell r="AW129">
            <v>438.24358729699924</v>
          </cell>
          <cell r="AX129">
            <v>10394.168543348131</v>
          </cell>
          <cell r="AY129" t="e">
            <v>#REF!</v>
          </cell>
          <cell r="BF129" t="str">
            <v>Congrelado</v>
          </cell>
          <cell r="BG129" t="str">
            <v>Luis Valencia</v>
          </cell>
          <cell r="BO129">
            <v>1353400</v>
          </cell>
          <cell r="BP129">
            <v>0</v>
          </cell>
        </row>
        <row r="130">
          <cell r="B130">
            <v>719</v>
          </cell>
          <cell r="C130" t="str">
            <v>E10</v>
          </cell>
          <cell r="D130">
            <v>72.510000000000005</v>
          </cell>
          <cell r="E130">
            <v>3</v>
          </cell>
          <cell r="F130">
            <v>1</v>
          </cell>
          <cell r="G130">
            <v>3.99</v>
          </cell>
          <cell r="I130">
            <v>1</v>
          </cell>
          <cell r="J130">
            <v>12</v>
          </cell>
          <cell r="K130">
            <v>14</v>
          </cell>
          <cell r="L130" t="str">
            <v>DIFERENTE</v>
          </cell>
          <cell r="M130" t="str">
            <v>S-1_26-27</v>
          </cell>
          <cell r="N130" t="str">
            <v>S1_26-27</v>
          </cell>
          <cell r="O130" t="str">
            <v>S1_12</v>
          </cell>
          <cell r="P130" t="str">
            <v>MISMO SÓTANO</v>
          </cell>
          <cell r="Q130">
            <v>12710</v>
          </cell>
          <cell r="R130">
            <v>1229397.0120000001</v>
          </cell>
          <cell r="S130">
            <v>1343730.9341160001</v>
          </cell>
          <cell r="T130">
            <v>1229460.2012808784</v>
          </cell>
          <cell r="U130">
            <v>1343800</v>
          </cell>
          <cell r="V130">
            <v>33600</v>
          </cell>
          <cell r="W130">
            <v>1377400</v>
          </cell>
          <cell r="AA130">
            <v>1377400</v>
          </cell>
          <cell r="AC130">
            <v>1377400</v>
          </cell>
          <cell r="AD130">
            <v>55096</v>
          </cell>
          <cell r="AF130">
            <v>1432496</v>
          </cell>
          <cell r="AG130">
            <v>0</v>
          </cell>
          <cell r="AH130">
            <v>23879.549151520012</v>
          </cell>
          <cell r="AI130">
            <v>1456375.54915152</v>
          </cell>
          <cell r="AN130">
            <v>1456375.54915152</v>
          </cell>
          <cell r="AO130">
            <v>1456400</v>
          </cell>
          <cell r="AP130">
            <v>1456375.55</v>
          </cell>
          <cell r="AQ130">
            <v>145637.554915152</v>
          </cell>
          <cell r="AR130">
            <v>10000</v>
          </cell>
          <cell r="AS130">
            <v>135637.554915152</v>
          </cell>
          <cell r="AT130">
            <v>1310737.994236368</v>
          </cell>
          <cell r="AU130">
            <v>8950.4357986430696</v>
          </cell>
          <cell r="AV130">
            <v>699.53994812858912</v>
          </cell>
          <cell r="AW130">
            <v>424.77620183586004</v>
          </cell>
          <cell r="AX130">
            <v>10074.75194860752</v>
          </cell>
          <cell r="AY130" t="e">
            <v>#REF!</v>
          </cell>
          <cell r="BF130" t="str">
            <v>PCV</v>
          </cell>
          <cell r="BG130" t="str">
            <v>Mario Antonio Flores / FLORTIZ,S.A.</v>
          </cell>
          <cell r="BH130" t="str">
            <v>Otto H., solicitó bloquearlo</v>
          </cell>
          <cell r="BI130">
            <v>45173</v>
          </cell>
          <cell r="BO130">
            <v>1377400</v>
          </cell>
          <cell r="BP130">
            <v>0</v>
          </cell>
        </row>
        <row r="131">
          <cell r="B131">
            <v>801</v>
          </cell>
          <cell r="C131" t="str">
            <v>C4</v>
          </cell>
          <cell r="D131">
            <v>54.09</v>
          </cell>
          <cell r="E131">
            <v>2</v>
          </cell>
          <cell r="F131">
            <v>1</v>
          </cell>
          <cell r="G131">
            <v>1.39</v>
          </cell>
          <cell r="I131">
            <v>1</v>
          </cell>
          <cell r="J131">
            <v>117</v>
          </cell>
          <cell r="K131">
            <v>118</v>
          </cell>
          <cell r="L131" t="str">
            <v>DIFERENTE</v>
          </cell>
          <cell r="M131" t="str">
            <v>S-5_388-389</v>
          </cell>
          <cell r="N131" t="str">
            <v>S5_388-389</v>
          </cell>
          <cell r="O131" t="str">
            <v>S5_279</v>
          </cell>
          <cell r="P131" t="str">
            <v>MISMO SÓTANO</v>
          </cell>
          <cell r="Q131">
            <v>13175</v>
          </cell>
          <cell r="R131">
            <v>1003715.782</v>
          </cell>
          <cell r="S131">
            <v>1097061.3497259999</v>
          </cell>
          <cell r="T131">
            <v>1003751.1436413541</v>
          </cell>
          <cell r="U131">
            <v>1097100</v>
          </cell>
          <cell r="V131">
            <v>54900</v>
          </cell>
          <cell r="W131">
            <v>1152000</v>
          </cell>
          <cell r="AA131">
            <v>1152000</v>
          </cell>
          <cell r="AC131">
            <v>1152000</v>
          </cell>
          <cell r="AF131">
            <v>1152000</v>
          </cell>
          <cell r="AH131">
            <v>0</v>
          </cell>
          <cell r="AI131">
            <v>1152000</v>
          </cell>
          <cell r="AN131">
            <v>1152000</v>
          </cell>
          <cell r="AO131">
            <v>1152000</v>
          </cell>
          <cell r="AP131">
            <v>1152000</v>
          </cell>
          <cell r="AQ131">
            <v>115200</v>
          </cell>
          <cell r="AR131">
            <v>10000</v>
          </cell>
          <cell r="AS131">
            <v>105200</v>
          </cell>
          <cell r="AT131">
            <v>1036800</v>
          </cell>
          <cell r="AU131">
            <v>7079.8373716476608</v>
          </cell>
          <cell r="AV131">
            <v>553.33943275388822</v>
          </cell>
          <cell r="AW131">
            <v>336</v>
          </cell>
          <cell r="AX131">
            <v>7969.1768044015489</v>
          </cell>
          <cell r="AY131" t="e">
            <v>#REF!</v>
          </cell>
          <cell r="BF131" t="str">
            <v>PCV</v>
          </cell>
          <cell r="BG131" t="str">
            <v>Pablo José Juarez</v>
          </cell>
          <cell r="BH131" t="str">
            <v>Antonio Rada</v>
          </cell>
          <cell r="BL131">
            <v>1</v>
          </cell>
          <cell r="BM131">
            <v>1</v>
          </cell>
          <cell r="BN131">
            <v>1</v>
          </cell>
          <cell r="BO131">
            <v>1152000</v>
          </cell>
          <cell r="BP131">
            <v>0</v>
          </cell>
        </row>
        <row r="132">
          <cell r="B132">
            <v>802</v>
          </cell>
          <cell r="C132" t="str">
            <v>C1</v>
          </cell>
          <cell r="D132">
            <v>55.09</v>
          </cell>
          <cell r="E132">
            <v>2</v>
          </cell>
          <cell r="F132">
            <v>1</v>
          </cell>
          <cell r="G132">
            <v>1.35</v>
          </cell>
          <cell r="I132">
            <v>1</v>
          </cell>
          <cell r="J132">
            <v>82</v>
          </cell>
          <cell r="K132">
            <v>84</v>
          </cell>
          <cell r="L132" t="str">
            <v>DIFERENTE</v>
          </cell>
          <cell r="M132" t="str">
            <v>S-4_288-289</v>
          </cell>
          <cell r="N132" t="str">
            <v>S4_288-289</v>
          </cell>
          <cell r="O132" t="str">
            <v>S4_208</v>
          </cell>
          <cell r="P132" t="str">
            <v>MISMO SÓTANO</v>
          </cell>
          <cell r="Q132">
            <v>13175</v>
          </cell>
          <cell r="R132">
            <v>1016633.63</v>
          </cell>
          <cell r="S132">
            <v>1111180.5575899999</v>
          </cell>
          <cell r="T132">
            <v>1016651.4181152791</v>
          </cell>
          <cell r="U132">
            <v>1111200</v>
          </cell>
          <cell r="V132">
            <v>55600</v>
          </cell>
          <cell r="W132">
            <v>1166800</v>
          </cell>
          <cell r="AA132">
            <v>1166800</v>
          </cell>
          <cell r="AC132">
            <v>1166800</v>
          </cell>
          <cell r="AF132">
            <v>1166800</v>
          </cell>
          <cell r="AH132">
            <v>0</v>
          </cell>
          <cell r="AI132">
            <v>1166800</v>
          </cell>
          <cell r="AN132">
            <v>1166800</v>
          </cell>
          <cell r="AO132">
            <v>1166800</v>
          </cell>
          <cell r="AP132">
            <v>1166800</v>
          </cell>
          <cell r="AQ132">
            <v>116680</v>
          </cell>
          <cell r="AR132">
            <v>10000</v>
          </cell>
          <cell r="AS132">
            <v>106680</v>
          </cell>
          <cell r="AT132">
            <v>1050120</v>
          </cell>
          <cell r="AU132">
            <v>7170.7936156584128</v>
          </cell>
          <cell r="AV132">
            <v>560.44830741079591</v>
          </cell>
          <cell r="AW132">
            <v>340.31666666666666</v>
          </cell>
          <cell r="AX132">
            <v>8071.5585897358751</v>
          </cell>
          <cell r="AY132" t="e">
            <v>#REF!</v>
          </cell>
          <cell r="BF132" t="str">
            <v>PCV</v>
          </cell>
          <cell r="BG132" t="str">
            <v>Carmen Soto</v>
          </cell>
          <cell r="BH132" t="str">
            <v>Brenda Búcaro</v>
          </cell>
          <cell r="BL132">
            <v>1</v>
          </cell>
          <cell r="BN132">
            <v>1</v>
          </cell>
          <cell r="BO132">
            <v>1166800</v>
          </cell>
          <cell r="BP132">
            <v>0</v>
          </cell>
        </row>
        <row r="133">
          <cell r="B133">
            <v>803</v>
          </cell>
          <cell r="C133" t="str">
            <v>A8</v>
          </cell>
          <cell r="D133">
            <v>35.94</v>
          </cell>
          <cell r="E133">
            <v>1</v>
          </cell>
          <cell r="G133">
            <v>1.49</v>
          </cell>
          <cell r="H133">
            <v>1</v>
          </cell>
          <cell r="L133" t="str">
            <v>IGUAL</v>
          </cell>
          <cell r="M133" t="str">
            <v>S-5_358</v>
          </cell>
          <cell r="N133" t="str">
            <v>S5_358</v>
          </cell>
          <cell r="O133" t="str">
            <v>S5_259</v>
          </cell>
          <cell r="P133" t="str">
            <v>MISMO SÓTANO</v>
          </cell>
          <cell r="Q133">
            <v>13368.75</v>
          </cell>
          <cell r="R133">
            <v>610051.78700000001</v>
          </cell>
          <cell r="S133">
            <v>666786.60319099994</v>
          </cell>
          <cell r="T133">
            <v>610064.04391582799</v>
          </cell>
          <cell r="U133">
            <v>666800</v>
          </cell>
          <cell r="W133">
            <v>666800</v>
          </cell>
          <cell r="AA133">
            <v>666800</v>
          </cell>
          <cell r="AC133">
            <v>666800</v>
          </cell>
          <cell r="AF133">
            <v>666800</v>
          </cell>
          <cell r="AH133">
            <v>-6100</v>
          </cell>
          <cell r="AI133">
            <v>660700</v>
          </cell>
          <cell r="AN133">
            <v>660700</v>
          </cell>
          <cell r="AO133">
            <v>660700</v>
          </cell>
          <cell r="AP133">
            <v>660700</v>
          </cell>
          <cell r="AQ133">
            <v>66070</v>
          </cell>
          <cell r="AR133">
            <v>10000</v>
          </cell>
          <cell r="AS133">
            <v>56070</v>
          </cell>
          <cell r="AT133">
            <v>594630</v>
          </cell>
          <cell r="AU133">
            <v>4060.4588120204944</v>
          </cell>
          <cell r="AV133">
            <v>317.35361390667885</v>
          </cell>
          <cell r="AW133">
            <v>192.70416666666668</v>
          </cell>
          <cell r="AX133">
            <v>4570.51659259384</v>
          </cell>
          <cell r="AY133" t="e">
            <v>#REF!</v>
          </cell>
          <cell r="BF133" t="str">
            <v>PCV</v>
          </cell>
          <cell r="BG133" t="str">
            <v>Mauricio León</v>
          </cell>
          <cell r="BH133" t="str">
            <v>Brenda Búcaro</v>
          </cell>
          <cell r="BK133">
            <v>1</v>
          </cell>
          <cell r="BM133">
            <v>1</v>
          </cell>
          <cell r="BN133">
            <v>1</v>
          </cell>
          <cell r="BO133">
            <v>660700</v>
          </cell>
          <cell r="BP133">
            <v>-6100</v>
          </cell>
        </row>
        <row r="134">
          <cell r="B134">
            <v>804</v>
          </cell>
          <cell r="C134" t="str">
            <v>A1</v>
          </cell>
          <cell r="D134">
            <v>35.85</v>
          </cell>
          <cell r="E134">
            <v>1</v>
          </cell>
          <cell r="G134">
            <v>1.58</v>
          </cell>
          <cell r="H134">
            <v>1</v>
          </cell>
          <cell r="L134" t="str">
            <v>IGUAL</v>
          </cell>
          <cell r="M134" t="str">
            <v>S-5_359</v>
          </cell>
          <cell r="N134" t="str">
            <v>S5_359</v>
          </cell>
          <cell r="O134" t="str">
            <v>S5_260</v>
          </cell>
          <cell r="P134" t="str">
            <v>MISMO SÓTANO</v>
          </cell>
          <cell r="Q134">
            <v>13368.75</v>
          </cell>
          <cell r="R134">
            <v>609427.19149999996</v>
          </cell>
          <cell r="S134">
            <v>666103.92030949995</v>
          </cell>
          <cell r="T134">
            <v>609515.09606587375</v>
          </cell>
          <cell r="U134">
            <v>666200</v>
          </cell>
          <cell r="V134">
            <v>36700</v>
          </cell>
          <cell r="W134">
            <v>702900</v>
          </cell>
          <cell r="AA134">
            <v>702900</v>
          </cell>
          <cell r="AC134">
            <v>702900</v>
          </cell>
          <cell r="AF134">
            <v>702900</v>
          </cell>
          <cell r="AH134">
            <v>0</v>
          </cell>
          <cell r="AI134">
            <v>702900</v>
          </cell>
          <cell r="AN134">
            <v>702900</v>
          </cell>
          <cell r="AO134">
            <v>702900</v>
          </cell>
          <cell r="AP134">
            <v>702900</v>
          </cell>
          <cell r="AQ134">
            <v>70290</v>
          </cell>
          <cell r="AR134">
            <v>10000</v>
          </cell>
          <cell r="AS134">
            <v>60290</v>
          </cell>
          <cell r="AT134">
            <v>632610</v>
          </cell>
          <cell r="AU134">
            <v>4319.807021294394</v>
          </cell>
          <cell r="AV134">
            <v>337.62351326623963</v>
          </cell>
          <cell r="AW134">
            <v>205.01250000000002</v>
          </cell>
          <cell r="AX134">
            <v>4862.4430345606334</v>
          </cell>
          <cell r="AY134" t="e">
            <v>#REF!</v>
          </cell>
          <cell r="BF134" t="str">
            <v>PCV</v>
          </cell>
          <cell r="BG134" t="str">
            <v>Victor Caceres</v>
          </cell>
          <cell r="BH134" t="str">
            <v>Brenda Búcaro</v>
          </cell>
          <cell r="BL134">
            <v>1</v>
          </cell>
          <cell r="BM134">
            <v>1</v>
          </cell>
          <cell r="BN134">
            <v>1</v>
          </cell>
          <cell r="BO134">
            <v>702900</v>
          </cell>
          <cell r="BP134">
            <v>0</v>
          </cell>
        </row>
        <row r="135">
          <cell r="B135">
            <v>805</v>
          </cell>
          <cell r="C135" t="str">
            <v>B5</v>
          </cell>
          <cell r="D135">
            <v>52.51</v>
          </cell>
          <cell r="E135">
            <v>2</v>
          </cell>
          <cell r="G135">
            <v>1.35</v>
          </cell>
          <cell r="H135">
            <v>1</v>
          </cell>
          <cell r="L135" t="str">
            <v>IGUAL</v>
          </cell>
          <cell r="M135" t="str">
            <v>S-3_149</v>
          </cell>
          <cell r="N135" t="str">
            <v>S3_149</v>
          </cell>
          <cell r="O135" t="str">
            <v>S3_105</v>
          </cell>
          <cell r="P135" t="str">
            <v>MISMO SÓTANO</v>
          </cell>
          <cell r="Q135">
            <v>13175</v>
          </cell>
          <cell r="R135">
            <v>820498.13</v>
          </cell>
          <cell r="S135">
            <v>896804.45608999999</v>
          </cell>
          <cell r="T135">
            <v>820585.54437328456</v>
          </cell>
          <cell r="U135">
            <v>896900</v>
          </cell>
          <cell r="V135">
            <v>44900</v>
          </cell>
          <cell r="W135">
            <v>941800</v>
          </cell>
          <cell r="AA135">
            <v>941800</v>
          </cell>
          <cell r="AC135">
            <v>941800</v>
          </cell>
          <cell r="AF135">
            <v>941800</v>
          </cell>
          <cell r="AH135">
            <v>0</v>
          </cell>
          <cell r="AI135">
            <v>941800</v>
          </cell>
          <cell r="AN135">
            <v>941800</v>
          </cell>
          <cell r="AO135">
            <v>941800</v>
          </cell>
          <cell r="AP135">
            <v>941800</v>
          </cell>
          <cell r="AQ135">
            <v>94180</v>
          </cell>
          <cell r="AR135">
            <v>10000</v>
          </cell>
          <cell r="AS135">
            <v>84180</v>
          </cell>
          <cell r="AT135">
            <v>847620</v>
          </cell>
          <cell r="AU135">
            <v>5788.0128790084782</v>
          </cell>
          <cell r="AV135">
            <v>452.37419945105211</v>
          </cell>
          <cell r="AW135">
            <v>274.69166666666666</v>
          </cell>
          <cell r="AX135">
            <v>6515.0787451261967</v>
          </cell>
          <cell r="AY135" t="e">
            <v>#REF!</v>
          </cell>
          <cell r="BF135" t="str">
            <v>PCV</v>
          </cell>
          <cell r="BG135" t="str">
            <v xml:space="preserve">Celia Julissa Flores Davila </v>
          </cell>
          <cell r="BH135" t="str">
            <v>Antonio Rada</v>
          </cell>
          <cell r="BK135">
            <v>1</v>
          </cell>
          <cell r="BN135">
            <v>1</v>
          </cell>
          <cell r="BO135">
            <v>941800</v>
          </cell>
          <cell r="BP135">
            <v>0</v>
          </cell>
        </row>
        <row r="136">
          <cell r="B136">
            <v>806</v>
          </cell>
          <cell r="C136" t="str">
            <v>B8</v>
          </cell>
          <cell r="D136">
            <v>52.64</v>
          </cell>
          <cell r="E136">
            <v>2</v>
          </cell>
          <cell r="G136">
            <v>1.26</v>
          </cell>
          <cell r="H136">
            <v>1</v>
          </cell>
          <cell r="L136" t="str">
            <v>IGUAL</v>
          </cell>
          <cell r="M136" t="str">
            <v>S-3_150</v>
          </cell>
          <cell r="N136" t="str">
            <v>S3_150</v>
          </cell>
          <cell r="O136" t="str">
            <v>S3_106</v>
          </cell>
          <cell r="P136" t="str">
            <v>MISMO SÓTANO</v>
          </cell>
          <cell r="Q136">
            <v>13175</v>
          </cell>
          <cell r="R136">
            <v>821632.28799999994</v>
          </cell>
          <cell r="S136">
            <v>898044.09078399988</v>
          </cell>
          <cell r="T136">
            <v>821683.44007319305</v>
          </cell>
          <cell r="U136">
            <v>898100</v>
          </cell>
          <cell r="V136">
            <v>45000</v>
          </cell>
          <cell r="W136">
            <v>943100</v>
          </cell>
          <cell r="AA136">
            <v>943100</v>
          </cell>
          <cell r="AC136">
            <v>943100</v>
          </cell>
          <cell r="AF136">
            <v>943100</v>
          </cell>
          <cell r="AG136">
            <v>141465</v>
          </cell>
          <cell r="AH136">
            <v>0</v>
          </cell>
          <cell r="AI136">
            <v>1084565</v>
          </cell>
          <cell r="AN136">
            <v>1084565</v>
          </cell>
          <cell r="AO136">
            <v>1084600</v>
          </cell>
          <cell r="AP136">
            <v>1084565</v>
          </cell>
          <cell r="AQ136">
            <v>108456.5</v>
          </cell>
          <cell r="AR136">
            <v>10000</v>
          </cell>
          <cell r="AS136">
            <v>98456.5</v>
          </cell>
          <cell r="AT136">
            <v>976108.5</v>
          </cell>
          <cell r="AU136">
            <v>6665.4026206432682</v>
          </cell>
          <cell r="AV136">
            <v>520.94842177493126</v>
          </cell>
          <cell r="AW136">
            <v>316.33145833333333</v>
          </cell>
          <cell r="AX136">
            <v>7502.6825007515326</v>
          </cell>
          <cell r="AY136" t="e">
            <v>#REF!</v>
          </cell>
          <cell r="BF136" t="str">
            <v>PCV</v>
          </cell>
          <cell r="BG136" t="str">
            <v>Rodolfo Morales Muñoz</v>
          </cell>
          <cell r="BH136" t="str">
            <v>Antonio Rada</v>
          </cell>
          <cell r="BI136">
            <v>45547</v>
          </cell>
          <cell r="BL136">
            <v>1</v>
          </cell>
          <cell r="BO136">
            <v>943100</v>
          </cell>
          <cell r="BP136">
            <v>0</v>
          </cell>
        </row>
        <row r="137">
          <cell r="B137">
            <v>807</v>
          </cell>
          <cell r="C137" t="str">
            <v>B4</v>
          </cell>
          <cell r="D137">
            <v>49.77</v>
          </cell>
          <cell r="E137">
            <v>2</v>
          </cell>
          <cell r="G137">
            <v>1.49</v>
          </cell>
          <cell r="H137">
            <v>1</v>
          </cell>
          <cell r="L137" t="str">
            <v>IGUAL</v>
          </cell>
          <cell r="M137" t="str">
            <v>S-3_151</v>
          </cell>
          <cell r="N137" t="str">
            <v>S3_151</v>
          </cell>
          <cell r="O137" t="str">
            <v>S3_107</v>
          </cell>
          <cell r="P137" t="str">
            <v>MISMO SÓTANO</v>
          </cell>
          <cell r="Q137">
            <v>13175</v>
          </cell>
          <cell r="R137">
            <v>785298.66200000001</v>
          </cell>
          <cell r="S137">
            <v>858331.43756600004</v>
          </cell>
          <cell r="T137">
            <v>785361.39066788659</v>
          </cell>
          <cell r="U137">
            <v>858400</v>
          </cell>
          <cell r="V137">
            <v>43000</v>
          </cell>
          <cell r="W137">
            <v>901400</v>
          </cell>
          <cell r="AA137">
            <v>901400</v>
          </cell>
          <cell r="AC137">
            <v>901400</v>
          </cell>
          <cell r="AF137">
            <v>901400</v>
          </cell>
          <cell r="AH137">
            <v>0</v>
          </cell>
          <cell r="AI137">
            <v>901400</v>
          </cell>
          <cell r="AN137">
            <v>901400</v>
          </cell>
          <cell r="AO137">
            <v>901400</v>
          </cell>
          <cell r="AP137">
            <v>901400</v>
          </cell>
          <cell r="AQ137">
            <v>90140</v>
          </cell>
          <cell r="AR137">
            <v>10000</v>
          </cell>
          <cell r="AS137">
            <v>80140</v>
          </cell>
          <cell r="AT137">
            <v>811260</v>
          </cell>
          <cell r="AU137">
            <v>5539.7269156277798</v>
          </cell>
          <cell r="AV137">
            <v>432.96889295516917</v>
          </cell>
          <cell r="AW137">
            <v>262.90833333333336</v>
          </cell>
          <cell r="AX137">
            <v>6235.604141916283</v>
          </cell>
          <cell r="AY137" t="e">
            <v>#REF!</v>
          </cell>
          <cell r="BF137" t="str">
            <v>PCV</v>
          </cell>
          <cell r="BG137" t="str">
            <v>Raúl Morales</v>
          </cell>
          <cell r="BH137" t="str">
            <v>Antonio Rada</v>
          </cell>
          <cell r="BL137">
            <v>1</v>
          </cell>
          <cell r="BN137">
            <v>1</v>
          </cell>
          <cell r="BO137">
            <v>901400</v>
          </cell>
          <cell r="BP137">
            <v>0</v>
          </cell>
        </row>
        <row r="138">
          <cell r="B138">
            <v>808</v>
          </cell>
          <cell r="C138" t="str">
            <v>B3</v>
          </cell>
          <cell r="D138">
            <v>48.96</v>
          </cell>
          <cell r="E138">
            <v>2</v>
          </cell>
          <cell r="G138">
            <v>1.26</v>
          </cell>
          <cell r="H138">
            <v>1</v>
          </cell>
          <cell r="L138" t="str">
            <v>IGUAL</v>
          </cell>
          <cell r="M138" t="str">
            <v>S-3_152</v>
          </cell>
          <cell r="N138" t="str">
            <v>S3_152</v>
          </cell>
          <cell r="O138" t="str">
            <v>S3_108</v>
          </cell>
          <cell r="P138" t="str">
            <v>MISMO SÓTANO</v>
          </cell>
          <cell r="Q138">
            <v>13175</v>
          </cell>
          <cell r="R138">
            <v>773148.28799999994</v>
          </cell>
          <cell r="S138">
            <v>845051.0787839999</v>
          </cell>
          <cell r="T138">
            <v>773193.04666056728</v>
          </cell>
          <cell r="U138">
            <v>845100</v>
          </cell>
          <cell r="V138">
            <v>42300</v>
          </cell>
          <cell r="W138">
            <v>887400</v>
          </cell>
          <cell r="AA138">
            <v>887400</v>
          </cell>
          <cell r="AC138">
            <v>887400</v>
          </cell>
          <cell r="AF138">
            <v>887400</v>
          </cell>
          <cell r="AH138">
            <v>0</v>
          </cell>
          <cell r="AI138">
            <v>887400</v>
          </cell>
          <cell r="AN138">
            <v>887400</v>
          </cell>
          <cell r="AO138">
            <v>887400</v>
          </cell>
          <cell r="AP138">
            <v>887400</v>
          </cell>
          <cell r="AQ138">
            <v>88740</v>
          </cell>
          <cell r="AR138">
            <v>10000</v>
          </cell>
          <cell r="AS138">
            <v>78740</v>
          </cell>
          <cell r="AT138">
            <v>798660</v>
          </cell>
          <cell r="AU138">
            <v>5453.6872253473384</v>
          </cell>
          <cell r="AV138">
            <v>426.24428179322962</v>
          </cell>
          <cell r="AW138">
            <v>258.82499999999999</v>
          </cell>
          <cell r="AX138">
            <v>6138.7565071405679</v>
          </cell>
          <cell r="AY138" t="e">
            <v>#REF!</v>
          </cell>
          <cell r="BF138" t="str">
            <v>PCV</v>
          </cell>
          <cell r="BG138" t="str">
            <v>Gualberto Salazar</v>
          </cell>
          <cell r="BH138" t="str">
            <v>Antonio Rada</v>
          </cell>
          <cell r="BL138">
            <v>1</v>
          </cell>
          <cell r="BN138">
            <v>1</v>
          </cell>
          <cell r="BO138">
            <v>887400</v>
          </cell>
          <cell r="BP138">
            <v>0</v>
          </cell>
        </row>
        <row r="139">
          <cell r="B139">
            <v>809</v>
          </cell>
          <cell r="C139" t="str">
            <v>E1</v>
          </cell>
          <cell r="D139">
            <v>74.8</v>
          </cell>
          <cell r="E139">
            <v>3</v>
          </cell>
          <cell r="F139">
            <v>1</v>
          </cell>
          <cell r="G139">
            <v>1.26</v>
          </cell>
          <cell r="I139">
            <v>1</v>
          </cell>
          <cell r="J139">
            <v>13</v>
          </cell>
          <cell r="K139">
            <v>15</v>
          </cell>
          <cell r="L139" t="str">
            <v>DIFERENTE</v>
          </cell>
          <cell r="M139" t="str">
            <v>S-1_28-29</v>
          </cell>
          <cell r="N139" t="str">
            <v>S1_28-29</v>
          </cell>
          <cell r="O139" t="str">
            <v>S1_13</v>
          </cell>
          <cell r="P139" t="str">
            <v>MISMO SÓTANO</v>
          </cell>
          <cell r="Q139">
            <v>12710</v>
          </cell>
          <cell r="R139">
            <v>1240952.2879999999</v>
          </cell>
          <cell r="S139">
            <v>1356360.850784</v>
          </cell>
          <cell r="T139">
            <v>1240988.1061299178</v>
          </cell>
          <cell r="U139">
            <v>1356400</v>
          </cell>
          <cell r="V139">
            <v>34000</v>
          </cell>
          <cell r="W139">
            <v>1390400</v>
          </cell>
          <cell r="AA139">
            <v>1390400</v>
          </cell>
          <cell r="AC139">
            <v>1390400</v>
          </cell>
          <cell r="AF139">
            <v>1390400</v>
          </cell>
          <cell r="AH139">
            <v>0</v>
          </cell>
          <cell r="AI139">
            <v>1390400</v>
          </cell>
          <cell r="AN139">
            <v>1390400</v>
          </cell>
          <cell r="AO139">
            <v>1390400</v>
          </cell>
          <cell r="AP139">
            <v>1390400</v>
          </cell>
          <cell r="AQ139">
            <v>139040</v>
          </cell>
          <cell r="AR139">
            <v>10000</v>
          </cell>
          <cell r="AS139">
            <v>129040</v>
          </cell>
          <cell r="AT139">
            <v>1251360</v>
          </cell>
          <cell r="AU139">
            <v>8544.9703832803025</v>
          </cell>
          <cell r="AV139">
            <v>667.84995425434568</v>
          </cell>
          <cell r="AW139">
            <v>405.53333333333336</v>
          </cell>
          <cell r="AX139">
            <v>9618.3536708679803</v>
          </cell>
          <cell r="AY139" t="e">
            <v>#REF!</v>
          </cell>
          <cell r="BF139" t="str">
            <v>PCV</v>
          </cell>
          <cell r="BG139" t="str">
            <v>Mildred Monterroso</v>
          </cell>
          <cell r="BH139" t="str">
            <v>Antonio Rada</v>
          </cell>
          <cell r="BN139">
            <v>1</v>
          </cell>
          <cell r="BO139">
            <v>1390400</v>
          </cell>
          <cell r="BP139">
            <v>0</v>
          </cell>
        </row>
        <row r="140">
          <cell r="B140">
            <v>810</v>
          </cell>
          <cell r="C140" t="str">
            <v>A4</v>
          </cell>
          <cell r="D140">
            <v>35.549999999999997</v>
          </cell>
          <cell r="E140">
            <v>1</v>
          </cell>
          <cell r="G140">
            <v>1.49</v>
          </cell>
          <cell r="H140">
            <v>1</v>
          </cell>
          <cell r="L140" t="str">
            <v>IGUAL</v>
          </cell>
          <cell r="M140" t="str">
            <v>S-5_360</v>
          </cell>
          <cell r="N140" t="str">
            <v>S5_360</v>
          </cell>
          <cell r="O140" t="str">
            <v>S5_261</v>
          </cell>
          <cell r="P140" t="str">
            <v>MISMO SÓTANO</v>
          </cell>
          <cell r="Q140">
            <v>13368.75</v>
          </cell>
          <cell r="R140">
            <v>604837.97450000001</v>
          </cell>
          <cell r="S140">
            <v>661087.90612850001</v>
          </cell>
          <cell r="T140">
            <v>604849.03934126254</v>
          </cell>
          <cell r="U140">
            <v>661100</v>
          </cell>
          <cell r="V140">
            <v>36400</v>
          </cell>
          <cell r="W140">
            <v>697500</v>
          </cell>
          <cell r="AA140">
            <v>697500</v>
          </cell>
          <cell r="AC140">
            <v>697500</v>
          </cell>
          <cell r="AF140">
            <v>697500</v>
          </cell>
          <cell r="AH140">
            <v>0</v>
          </cell>
          <cell r="AI140">
            <v>697500</v>
          </cell>
          <cell r="AN140">
            <v>697500</v>
          </cell>
          <cell r="AO140">
            <v>697500</v>
          </cell>
          <cell r="AP140">
            <v>697500</v>
          </cell>
          <cell r="AQ140">
            <v>69750</v>
          </cell>
          <cell r="AR140">
            <v>10000</v>
          </cell>
          <cell r="AS140">
            <v>59750</v>
          </cell>
          <cell r="AT140">
            <v>627750</v>
          </cell>
          <cell r="AU140">
            <v>4286.620283614795</v>
          </cell>
          <cell r="AV140">
            <v>335.02973467520582</v>
          </cell>
          <cell r="AW140">
            <v>203.4375</v>
          </cell>
          <cell r="AX140">
            <v>4825.0875182900008</v>
          </cell>
          <cell r="AY140" t="e">
            <v>#REF!</v>
          </cell>
          <cell r="BF140" t="str">
            <v>PCV</v>
          </cell>
          <cell r="BG140" t="str">
            <v>Wendy Barrillas</v>
          </cell>
          <cell r="BH140" t="str">
            <v>Brenda Bucaro</v>
          </cell>
          <cell r="BL140">
            <v>1</v>
          </cell>
          <cell r="BN140">
            <v>1</v>
          </cell>
          <cell r="BO140">
            <v>697500</v>
          </cell>
          <cell r="BP140">
            <v>0</v>
          </cell>
        </row>
        <row r="141">
          <cell r="B141">
            <v>811</v>
          </cell>
          <cell r="C141" t="str">
            <v>B7</v>
          </cell>
          <cell r="D141">
            <v>53.1</v>
          </cell>
          <cell r="E141">
            <v>2</v>
          </cell>
          <cell r="G141">
            <v>1.46</v>
          </cell>
          <cell r="H141">
            <v>1</v>
          </cell>
          <cell r="L141" t="str">
            <v>IGUAL</v>
          </cell>
          <cell r="M141" t="str">
            <v>S-3_153</v>
          </cell>
          <cell r="N141" t="str">
            <v>S3_153</v>
          </cell>
          <cell r="O141" t="str">
            <v>S3_109</v>
          </cell>
          <cell r="P141" t="str">
            <v>MISMO SÓTANO</v>
          </cell>
          <cell r="Q141">
            <v>13175</v>
          </cell>
          <cell r="R141">
            <v>828978.54799999995</v>
          </cell>
          <cell r="S141">
            <v>906073.55296399991</v>
          </cell>
          <cell r="T141">
            <v>829002.74473924981</v>
          </cell>
          <cell r="U141">
            <v>906100</v>
          </cell>
          <cell r="V141">
            <v>45400</v>
          </cell>
          <cell r="W141">
            <v>951500</v>
          </cell>
          <cell r="AA141">
            <v>951500</v>
          </cell>
          <cell r="AC141">
            <v>951500</v>
          </cell>
          <cell r="AF141">
            <v>951500</v>
          </cell>
          <cell r="AG141">
            <v>0</v>
          </cell>
          <cell r="AH141">
            <v>-87053.979999999981</v>
          </cell>
          <cell r="AI141">
            <v>864446.02</v>
          </cell>
          <cell r="AN141">
            <v>864446.02</v>
          </cell>
          <cell r="AO141">
            <v>864500</v>
          </cell>
          <cell r="AP141">
            <v>864446.02</v>
          </cell>
          <cell r="AQ141">
            <v>86444.602000000014</v>
          </cell>
          <cell r="AR141">
            <v>10000</v>
          </cell>
          <cell r="AS141">
            <v>76444.602000000014</v>
          </cell>
          <cell r="AT141">
            <v>778001.41800000006</v>
          </cell>
          <cell r="AU141">
            <v>5312.6191303542382</v>
          </cell>
          <cell r="AV141">
            <v>415.21881107044828</v>
          </cell>
          <cell r="AW141">
            <v>252.13008916666669</v>
          </cell>
          <cell r="AX141">
            <v>5979.9680305913535</v>
          </cell>
          <cell r="AY141" t="e">
            <v>#REF!</v>
          </cell>
          <cell r="BF141" t="str">
            <v>PCV</v>
          </cell>
          <cell r="BG141" t="str">
            <v xml:space="preserve">Rosa Gilda Tuchan </v>
          </cell>
          <cell r="BH141" t="str">
            <v>Antonio Rada</v>
          </cell>
          <cell r="BI141">
            <v>45485</v>
          </cell>
          <cell r="BO141">
            <v>951500</v>
          </cell>
          <cell r="BP141">
            <v>0</v>
          </cell>
        </row>
        <row r="142">
          <cell r="B142">
            <v>812</v>
          </cell>
          <cell r="C142" t="str">
            <v>B2</v>
          </cell>
          <cell r="D142">
            <v>52.63</v>
          </cell>
          <cell r="E142">
            <v>2</v>
          </cell>
          <cell r="G142">
            <v>1.45</v>
          </cell>
          <cell r="H142">
            <v>1</v>
          </cell>
          <cell r="L142" t="str">
            <v>IGUAL</v>
          </cell>
          <cell r="M142" t="str">
            <v>S-3_154</v>
          </cell>
          <cell r="N142" t="str">
            <v>S3_154</v>
          </cell>
          <cell r="O142" t="str">
            <v>S3_110</v>
          </cell>
          <cell r="P142" t="str">
            <v>MISMO SÓTANO</v>
          </cell>
          <cell r="Q142">
            <v>13175</v>
          </cell>
          <cell r="R142">
            <v>822722.01</v>
          </cell>
          <cell r="S142">
            <v>899235.15692999994</v>
          </cell>
          <cell r="T142">
            <v>822781.33577310154</v>
          </cell>
          <cell r="U142">
            <v>899300</v>
          </cell>
          <cell r="V142">
            <v>45000</v>
          </cell>
          <cell r="W142">
            <v>944300</v>
          </cell>
          <cell r="AA142">
            <v>944300</v>
          </cell>
          <cell r="AC142">
            <v>944300</v>
          </cell>
          <cell r="AF142">
            <v>944300</v>
          </cell>
          <cell r="AG142">
            <v>-2832.9</v>
          </cell>
          <cell r="AH142">
            <v>0</v>
          </cell>
          <cell r="AI142">
            <v>941467.1</v>
          </cell>
          <cell r="AN142">
            <v>941467.1</v>
          </cell>
          <cell r="AO142">
            <v>941500</v>
          </cell>
          <cell r="AP142">
            <v>941467.1</v>
          </cell>
          <cell r="AQ142">
            <v>94146.71</v>
          </cell>
          <cell r="AR142">
            <v>10000</v>
          </cell>
          <cell r="AS142">
            <v>84146.71</v>
          </cell>
          <cell r="AT142">
            <v>847320.39</v>
          </cell>
          <cell r="AU142">
            <v>5785.9669780874528</v>
          </cell>
          <cell r="AV142">
            <v>452.21429780420857</v>
          </cell>
          <cell r="AW142">
            <v>274.59457083333331</v>
          </cell>
          <cell r="AX142">
            <v>6512.7758467249942</v>
          </cell>
          <cell r="AY142" t="e">
            <v>#REF!</v>
          </cell>
          <cell r="BF142" t="str">
            <v>PCV</v>
          </cell>
          <cell r="BG142" t="str">
            <v>Juan Pablo Gonzalez</v>
          </cell>
          <cell r="BH142" t="str">
            <v>Antonio Rada</v>
          </cell>
          <cell r="BI142">
            <v>45503</v>
          </cell>
          <cell r="BO142">
            <v>944300</v>
          </cell>
          <cell r="BP142">
            <v>0</v>
          </cell>
        </row>
        <row r="143">
          <cell r="B143">
            <v>813</v>
          </cell>
          <cell r="C143" t="str">
            <v>B6</v>
          </cell>
          <cell r="D143">
            <v>50.03</v>
          </cell>
          <cell r="E143">
            <v>2</v>
          </cell>
          <cell r="G143">
            <v>1.26</v>
          </cell>
          <cell r="H143">
            <v>1</v>
          </cell>
          <cell r="L143" t="str">
            <v>IGUAL</v>
          </cell>
          <cell r="M143" t="str">
            <v>S-3_155</v>
          </cell>
          <cell r="N143" t="str">
            <v>S3_155</v>
          </cell>
          <cell r="O143" t="str">
            <v>S3_111</v>
          </cell>
          <cell r="P143" t="str">
            <v>MISMO SÓTANO</v>
          </cell>
          <cell r="Q143">
            <v>13175</v>
          </cell>
          <cell r="R143">
            <v>787245.53799999994</v>
          </cell>
          <cell r="S143">
            <v>860459.37303399993</v>
          </cell>
          <cell r="T143">
            <v>787282.70814272645</v>
          </cell>
          <cell r="U143">
            <v>860500</v>
          </cell>
          <cell r="V143">
            <v>43100</v>
          </cell>
          <cell r="W143">
            <v>903600</v>
          </cell>
          <cell r="AA143">
            <v>903600</v>
          </cell>
          <cell r="AC143">
            <v>903600</v>
          </cell>
          <cell r="AF143">
            <v>903600</v>
          </cell>
          <cell r="AH143">
            <v>-8267.1500000000233</v>
          </cell>
          <cell r="AI143">
            <v>895332.85</v>
          </cell>
          <cell r="AN143">
            <v>895332.85</v>
          </cell>
          <cell r="AO143">
            <v>895400</v>
          </cell>
          <cell r="AP143">
            <v>895332.85</v>
          </cell>
          <cell r="AQ143">
            <v>89533.285000000003</v>
          </cell>
          <cell r="AR143">
            <v>10000</v>
          </cell>
          <cell r="AS143">
            <v>79533.285000000003</v>
          </cell>
          <cell r="AT143">
            <v>805799.56499999994</v>
          </cell>
          <cell r="AU143">
            <v>5502.4400794217099</v>
          </cell>
          <cell r="AV143">
            <v>430.05466262580052</v>
          </cell>
          <cell r="AW143">
            <v>261.13874791666666</v>
          </cell>
          <cell r="AX143">
            <v>6193.633489964177</v>
          </cell>
          <cell r="AY143" t="e">
            <v>#REF!</v>
          </cell>
          <cell r="BF143" t="str">
            <v>PCV</v>
          </cell>
          <cell r="BG143" t="str">
            <v xml:space="preserve">Industrias Danico / Pedro Cordon </v>
          </cell>
          <cell r="BH143" t="str">
            <v>Antonio Rada</v>
          </cell>
          <cell r="BN143">
            <v>1</v>
          </cell>
          <cell r="BO143">
            <v>903600</v>
          </cell>
          <cell r="BP143">
            <v>0</v>
          </cell>
        </row>
        <row r="144">
          <cell r="B144">
            <v>814</v>
          </cell>
          <cell r="C144" t="str">
            <v>B1</v>
          </cell>
          <cell r="D144">
            <v>48.69</v>
          </cell>
          <cell r="E144">
            <v>2</v>
          </cell>
          <cell r="G144">
            <v>1.26</v>
          </cell>
          <cell r="H144">
            <v>1</v>
          </cell>
          <cell r="L144" t="str">
            <v>IGUAL</v>
          </cell>
          <cell r="M144" t="str">
            <v>S-3_156</v>
          </cell>
          <cell r="N144" t="str">
            <v>S3_156</v>
          </cell>
          <cell r="O144" t="str">
            <v>S3_112</v>
          </cell>
          <cell r="P144" t="str">
            <v>MISMO SÓTANO</v>
          </cell>
          <cell r="Q144">
            <v>13175</v>
          </cell>
          <cell r="R144">
            <v>769591.03799999994</v>
          </cell>
          <cell r="S144">
            <v>841163.00453399995</v>
          </cell>
          <cell r="T144">
            <v>769624.88563586457</v>
          </cell>
          <cell r="U144">
            <v>841200</v>
          </cell>
          <cell r="V144">
            <v>42100</v>
          </cell>
          <cell r="W144">
            <v>883300</v>
          </cell>
          <cell r="AA144">
            <v>883300</v>
          </cell>
          <cell r="AC144">
            <v>883300</v>
          </cell>
          <cell r="AF144">
            <v>883300</v>
          </cell>
          <cell r="AH144">
            <v>0</v>
          </cell>
          <cell r="AI144">
            <v>883300</v>
          </cell>
          <cell r="AN144">
            <v>883300</v>
          </cell>
          <cell r="AO144">
            <v>883300</v>
          </cell>
          <cell r="AP144">
            <v>883300</v>
          </cell>
          <cell r="AQ144">
            <v>88330</v>
          </cell>
          <cell r="AR144">
            <v>10000</v>
          </cell>
          <cell r="AS144">
            <v>78330</v>
          </cell>
          <cell r="AT144">
            <v>794970</v>
          </cell>
          <cell r="AU144">
            <v>5428.4898874794962</v>
          </cell>
          <cell r="AV144">
            <v>424.2749313815188</v>
          </cell>
          <cell r="AW144">
            <v>257.62916666666666</v>
          </cell>
          <cell r="AX144">
            <v>6110.3939855276813</v>
          </cell>
          <cell r="AY144" t="e">
            <v>#REF!</v>
          </cell>
          <cell r="BF144" t="str">
            <v>PCV</v>
          </cell>
          <cell r="BG144" t="str">
            <v xml:space="preserve">Enma Lopez </v>
          </cell>
          <cell r="BH144" t="str">
            <v>Antonio Rada</v>
          </cell>
          <cell r="BL144">
            <v>1</v>
          </cell>
          <cell r="BN144">
            <v>1</v>
          </cell>
          <cell r="BO144">
            <v>883300</v>
          </cell>
          <cell r="BP144">
            <v>0</v>
          </cell>
        </row>
        <row r="145">
          <cell r="B145">
            <v>815</v>
          </cell>
          <cell r="C145" t="str">
            <v>E2</v>
          </cell>
          <cell r="D145">
            <v>70.81</v>
          </cell>
          <cell r="E145">
            <v>3</v>
          </cell>
          <cell r="F145">
            <v>1</v>
          </cell>
          <cell r="G145">
            <v>1.26</v>
          </cell>
          <cell r="I145">
            <v>1</v>
          </cell>
          <cell r="J145">
            <v>28</v>
          </cell>
          <cell r="K145">
            <v>16</v>
          </cell>
          <cell r="L145" t="str">
            <v>DIFERENTE</v>
          </cell>
          <cell r="M145" t="str">
            <v>S-1_30-31</v>
          </cell>
          <cell r="N145" t="str">
            <v>S1_30-31</v>
          </cell>
          <cell r="O145" t="str">
            <v>S1_14T-S2_89</v>
          </cell>
          <cell r="P145" t="str">
            <v>MISMO SÓTANO</v>
          </cell>
          <cell r="Q145">
            <v>12710</v>
          </cell>
          <cell r="R145">
            <v>1190239.388</v>
          </cell>
          <cell r="S145">
            <v>1300931.651084</v>
          </cell>
          <cell r="T145">
            <v>1190301.9213174749</v>
          </cell>
          <cell r="U145">
            <v>1301000</v>
          </cell>
          <cell r="V145">
            <v>32600</v>
          </cell>
          <cell r="W145">
            <v>1333600</v>
          </cell>
          <cell r="AA145">
            <v>1333600</v>
          </cell>
          <cell r="AC145">
            <v>1333600</v>
          </cell>
          <cell r="AF145">
            <v>1333600</v>
          </cell>
          <cell r="AH145">
            <v>130000</v>
          </cell>
          <cell r="AI145">
            <v>1463600</v>
          </cell>
          <cell r="AN145">
            <v>1463600</v>
          </cell>
          <cell r="AO145">
            <v>1463600</v>
          </cell>
          <cell r="AP145">
            <v>1463600</v>
          </cell>
          <cell r="AQ145">
            <v>146360</v>
          </cell>
          <cell r="AR145">
            <v>10000</v>
          </cell>
          <cell r="AS145">
            <v>136360</v>
          </cell>
          <cell r="AT145">
            <v>1317240</v>
          </cell>
          <cell r="AU145">
            <v>8994.8350496037474</v>
          </cell>
          <cell r="AV145">
            <v>703.0100640439158</v>
          </cell>
          <cell r="AW145">
            <v>426.88333333333338</v>
          </cell>
          <cell r="AX145">
            <v>10124.728446980997</v>
          </cell>
          <cell r="AY145" t="e">
            <v>#REF!</v>
          </cell>
          <cell r="BF145" t="str">
            <v>PCV</v>
          </cell>
          <cell r="BG145" t="str">
            <v>Leonora Cordón</v>
          </cell>
          <cell r="BH145" t="str">
            <v>Antonio Rada</v>
          </cell>
          <cell r="BL145">
            <v>1</v>
          </cell>
          <cell r="BN145">
            <v>1</v>
          </cell>
          <cell r="BO145">
            <v>1333600</v>
          </cell>
          <cell r="BP145">
            <v>0</v>
          </cell>
        </row>
        <row r="146">
          <cell r="B146">
            <v>816</v>
          </cell>
          <cell r="C146" t="str">
            <v>A2</v>
          </cell>
          <cell r="D146">
            <v>34.9</v>
          </cell>
          <cell r="E146">
            <v>1</v>
          </cell>
          <cell r="G146">
            <v>1.49</v>
          </cell>
          <cell r="H146">
            <v>1</v>
          </cell>
          <cell r="L146" t="str">
            <v>IGUAL</v>
          </cell>
          <cell r="M146" t="str">
            <v>S-5_361</v>
          </cell>
          <cell r="N146" t="str">
            <v>S5_361</v>
          </cell>
          <cell r="O146" t="str">
            <v>S5_262</v>
          </cell>
          <cell r="P146" t="str">
            <v>MISMO SÓTANO</v>
          </cell>
          <cell r="Q146">
            <v>13368.75</v>
          </cell>
          <cell r="R146">
            <v>596148.28700000001</v>
          </cell>
          <cell r="S146">
            <v>651590.07769099995</v>
          </cell>
          <cell r="T146">
            <v>596157.36505032028</v>
          </cell>
          <cell r="U146">
            <v>651600</v>
          </cell>
          <cell r="W146">
            <v>651600</v>
          </cell>
          <cell r="AA146">
            <v>651600</v>
          </cell>
          <cell r="AC146">
            <v>651600</v>
          </cell>
          <cell r="AF146">
            <v>651600</v>
          </cell>
          <cell r="AH146">
            <v>0</v>
          </cell>
          <cell r="AI146">
            <v>651600</v>
          </cell>
          <cell r="AN146">
            <v>651600</v>
          </cell>
          <cell r="AO146">
            <v>651600</v>
          </cell>
          <cell r="AP146">
            <v>651600</v>
          </cell>
          <cell r="AQ146">
            <v>65160</v>
          </cell>
          <cell r="AR146">
            <v>10000</v>
          </cell>
          <cell r="AS146">
            <v>55160</v>
          </cell>
          <cell r="AT146">
            <v>586440</v>
          </cell>
          <cell r="AU146">
            <v>4004.5330133382081</v>
          </cell>
          <cell r="AV146">
            <v>312.98261665141814</v>
          </cell>
          <cell r="AW146">
            <v>190.04999999999998</v>
          </cell>
          <cell r="AX146">
            <v>4507.5656299896264</v>
          </cell>
          <cell r="AY146" t="e">
            <v>#REF!</v>
          </cell>
          <cell r="BF146" t="str">
            <v>PCV</v>
          </cell>
          <cell r="BG146" t="str">
            <v>Coasa</v>
          </cell>
          <cell r="BH146" t="str">
            <v>Brenda Búcaro</v>
          </cell>
          <cell r="BL146">
            <v>1</v>
          </cell>
          <cell r="BN146">
            <v>1</v>
          </cell>
          <cell r="BO146">
            <v>651600</v>
          </cell>
          <cell r="BP146">
            <v>0</v>
          </cell>
        </row>
        <row r="147">
          <cell r="B147">
            <v>817</v>
          </cell>
          <cell r="C147" t="str">
            <v>A6</v>
          </cell>
          <cell r="D147">
            <v>35.69</v>
          </cell>
          <cell r="E147">
            <v>1</v>
          </cell>
          <cell r="G147">
            <v>1.49</v>
          </cell>
          <cell r="H147">
            <v>1</v>
          </cell>
          <cell r="L147" t="str">
            <v>IGUAL</v>
          </cell>
          <cell r="M147" t="str">
            <v>S-5_362</v>
          </cell>
          <cell r="N147" t="str">
            <v>S5_362</v>
          </cell>
          <cell r="O147" t="str">
            <v>S5_263</v>
          </cell>
          <cell r="P147" t="str">
            <v>MISMO SÓTANO</v>
          </cell>
          <cell r="Q147">
            <v>13368.75</v>
          </cell>
          <cell r="R147">
            <v>606709.59950000001</v>
          </cell>
          <cell r="S147">
            <v>663133.59225350001</v>
          </cell>
          <cell r="T147">
            <v>606770.35681610252</v>
          </cell>
          <cell r="U147">
            <v>663200</v>
          </cell>
          <cell r="W147">
            <v>663200</v>
          </cell>
          <cell r="AA147">
            <v>663200</v>
          </cell>
          <cell r="AC147">
            <v>663200</v>
          </cell>
          <cell r="AF147">
            <v>663200</v>
          </cell>
          <cell r="AH147">
            <v>-6067.6999999999534</v>
          </cell>
          <cell r="AI147">
            <v>657132.30000000005</v>
          </cell>
          <cell r="AN147">
            <v>657132.30000000005</v>
          </cell>
          <cell r="AO147">
            <v>657200</v>
          </cell>
          <cell r="AP147">
            <v>657132.30000000005</v>
          </cell>
          <cell r="AQ147">
            <v>65713.23000000001</v>
          </cell>
          <cell r="AR147">
            <v>10000</v>
          </cell>
          <cell r="AS147">
            <v>55713.23000000001</v>
          </cell>
          <cell r="AT147">
            <v>591419.07000000007</v>
          </cell>
          <cell r="AU147">
            <v>4038.5328260909578</v>
          </cell>
          <cell r="AV147">
            <v>315.63994281793231</v>
          </cell>
          <cell r="AW147">
            <v>191.66358750000003</v>
          </cell>
          <cell r="AX147">
            <v>4545.8363564088904</v>
          </cell>
          <cell r="AY147" t="e">
            <v>#REF!</v>
          </cell>
          <cell r="BF147" t="str">
            <v>PCV</v>
          </cell>
          <cell r="BG147" t="str">
            <v>Juan Antonio Escobedo</v>
          </cell>
          <cell r="BH147" t="str">
            <v>Brenda Búcaro</v>
          </cell>
          <cell r="BJ147">
            <v>1</v>
          </cell>
          <cell r="BO147">
            <v>657200</v>
          </cell>
          <cell r="BP147">
            <v>-6000</v>
          </cell>
        </row>
        <row r="148">
          <cell r="B148">
            <v>818</v>
          </cell>
          <cell r="C148" t="str">
            <v>A3</v>
          </cell>
          <cell r="D148">
            <v>35.94</v>
          </cell>
          <cell r="E148">
            <v>1</v>
          </cell>
          <cell r="G148">
            <v>1.49</v>
          </cell>
          <cell r="H148">
            <v>1</v>
          </cell>
          <cell r="L148" t="str">
            <v>IGUAL</v>
          </cell>
          <cell r="M148" t="str">
            <v>S-5_363</v>
          </cell>
          <cell r="N148" t="str">
            <v>S5_363</v>
          </cell>
          <cell r="O148" t="str">
            <v>S5_264</v>
          </cell>
          <cell r="P148" t="str">
            <v>MISMO SÓTANO</v>
          </cell>
          <cell r="Q148">
            <v>13368.75</v>
          </cell>
          <cell r="R148">
            <v>610051.78700000001</v>
          </cell>
          <cell r="S148">
            <v>666786.60319099994</v>
          </cell>
          <cell r="T148">
            <v>610064.04391582799</v>
          </cell>
          <cell r="U148">
            <v>666800</v>
          </cell>
          <cell r="V148">
            <v>36700</v>
          </cell>
          <cell r="W148">
            <v>703500</v>
          </cell>
          <cell r="AA148">
            <v>703500</v>
          </cell>
          <cell r="AC148">
            <v>703500</v>
          </cell>
          <cell r="AF148">
            <v>703500</v>
          </cell>
          <cell r="AH148">
            <v>0</v>
          </cell>
          <cell r="AI148">
            <v>703500</v>
          </cell>
          <cell r="AN148">
            <v>703500</v>
          </cell>
          <cell r="AO148">
            <v>703500</v>
          </cell>
          <cell r="AP148">
            <v>703500</v>
          </cell>
          <cell r="AQ148">
            <v>70350</v>
          </cell>
          <cell r="AR148">
            <v>10000</v>
          </cell>
          <cell r="AS148">
            <v>60350</v>
          </cell>
          <cell r="AT148">
            <v>633150</v>
          </cell>
          <cell r="AU148">
            <v>4323.4944365921265</v>
          </cell>
          <cell r="AV148">
            <v>337.91171088746563</v>
          </cell>
          <cell r="AW148">
            <v>205.1875</v>
          </cell>
          <cell r="AX148">
            <v>4866.5936474795917</v>
          </cell>
          <cell r="AY148" t="e">
            <v>#REF!</v>
          </cell>
          <cell r="BF148" t="str">
            <v>PCV</v>
          </cell>
          <cell r="BG148" t="str">
            <v>Astrid Chew</v>
          </cell>
          <cell r="BH148" t="str">
            <v>Brenda Búcaro</v>
          </cell>
          <cell r="BL148">
            <v>1</v>
          </cell>
          <cell r="BN148">
            <v>1</v>
          </cell>
          <cell r="BO148">
            <v>703500</v>
          </cell>
          <cell r="BP148">
            <v>0</v>
          </cell>
        </row>
        <row r="149">
          <cell r="B149">
            <v>819</v>
          </cell>
          <cell r="C149" t="str">
            <v>C3</v>
          </cell>
          <cell r="D149">
            <v>54.27</v>
          </cell>
          <cell r="E149">
            <v>2</v>
          </cell>
          <cell r="G149">
            <v>1.26</v>
          </cell>
          <cell r="H149">
            <v>1</v>
          </cell>
          <cell r="L149" t="str">
            <v>IGUAL</v>
          </cell>
          <cell r="M149" t="str">
            <v>S-2_75</v>
          </cell>
          <cell r="N149" t="str">
            <v>S2_75</v>
          </cell>
          <cell r="O149" t="str">
            <v>S2_52</v>
          </cell>
          <cell r="P149" t="str">
            <v>MISMO SÓTANO</v>
          </cell>
          <cell r="Q149">
            <v>13175</v>
          </cell>
          <cell r="R149">
            <v>843107.53799999994</v>
          </cell>
          <cell r="S149">
            <v>921516.5390339999</v>
          </cell>
          <cell r="T149">
            <v>843183.89752973465</v>
          </cell>
          <cell r="U149">
            <v>921600</v>
          </cell>
          <cell r="V149">
            <v>46100</v>
          </cell>
          <cell r="W149">
            <v>967700</v>
          </cell>
          <cell r="AA149">
            <v>967700</v>
          </cell>
          <cell r="AC149">
            <v>967700</v>
          </cell>
          <cell r="AF149">
            <v>967700</v>
          </cell>
          <cell r="AH149">
            <v>0</v>
          </cell>
          <cell r="AI149">
            <v>967700</v>
          </cell>
          <cell r="AN149">
            <v>967700</v>
          </cell>
          <cell r="AO149">
            <v>967700</v>
          </cell>
          <cell r="AP149">
            <v>967700</v>
          </cell>
          <cell r="AQ149">
            <v>96770</v>
          </cell>
          <cell r="AR149">
            <v>10000</v>
          </cell>
          <cell r="AS149">
            <v>86770</v>
          </cell>
          <cell r="AT149">
            <v>870930</v>
          </cell>
          <cell r="AU149">
            <v>5947.1863060272926</v>
          </cell>
          <cell r="AV149">
            <v>464.81473010064042</v>
          </cell>
          <cell r="AW149">
            <v>282.24583333333334</v>
          </cell>
          <cell r="AX149">
            <v>6694.2468694612662</v>
          </cell>
          <cell r="AY149" t="e">
            <v>#REF!</v>
          </cell>
          <cell r="BF149" t="str">
            <v>PCV</v>
          </cell>
          <cell r="BG149" t="str">
            <v>Edvin Sajquim</v>
          </cell>
          <cell r="BH149" t="str">
            <v>Brenda Búcaro</v>
          </cell>
          <cell r="BL149">
            <v>1</v>
          </cell>
          <cell r="BN149">
            <v>1</v>
          </cell>
          <cell r="BO149">
            <v>967700</v>
          </cell>
          <cell r="BP149">
            <v>0</v>
          </cell>
        </row>
        <row r="150">
          <cell r="B150">
            <v>820</v>
          </cell>
          <cell r="C150" t="str">
            <v>C2</v>
          </cell>
          <cell r="D150">
            <v>54.73</v>
          </cell>
          <cell r="E150">
            <v>2</v>
          </cell>
          <cell r="G150">
            <v>1.38</v>
          </cell>
          <cell r="H150">
            <v>1</v>
          </cell>
          <cell r="L150" t="str">
            <v>IGUAL</v>
          </cell>
          <cell r="M150" t="str">
            <v>S-2_76</v>
          </cell>
          <cell r="N150" t="str">
            <v>S2_76</v>
          </cell>
          <cell r="O150" t="str">
            <v>S2_53</v>
          </cell>
          <cell r="P150" t="str">
            <v>MISMO SÓTANO</v>
          </cell>
          <cell r="Q150">
            <v>13175</v>
          </cell>
          <cell r="R150">
            <v>849939.49399999995</v>
          </cell>
          <cell r="S150">
            <v>928983.86694199988</v>
          </cell>
          <cell r="T150">
            <v>849954.25434583717</v>
          </cell>
          <cell r="U150">
            <v>929000</v>
          </cell>
          <cell r="V150">
            <v>46500</v>
          </cell>
          <cell r="W150">
            <v>975500</v>
          </cell>
          <cell r="X150">
            <v>14632.5</v>
          </cell>
          <cell r="AA150">
            <v>990132.5</v>
          </cell>
          <cell r="AC150">
            <v>990132.5</v>
          </cell>
          <cell r="AF150">
            <v>990132.5</v>
          </cell>
          <cell r="AH150">
            <v>0</v>
          </cell>
          <cell r="AI150">
            <v>990132.5</v>
          </cell>
          <cell r="AN150">
            <v>990132.5</v>
          </cell>
          <cell r="AO150">
            <v>990200</v>
          </cell>
          <cell r="AP150">
            <v>990132.5</v>
          </cell>
          <cell r="AQ150">
            <v>99013.25</v>
          </cell>
          <cell r="AR150">
            <v>10000</v>
          </cell>
          <cell r="AS150">
            <v>89013.25</v>
          </cell>
          <cell r="AT150">
            <v>891119.25</v>
          </cell>
          <cell r="AU150">
            <v>6085.0495454712918</v>
          </cell>
          <cell r="AV150">
            <v>475.58971866422684</v>
          </cell>
          <cell r="AW150">
            <v>288.78864583333331</v>
          </cell>
          <cell r="AX150">
            <v>6849.427909968852</v>
          </cell>
          <cell r="AY150" t="e">
            <v>#REF!</v>
          </cell>
          <cell r="BF150" t="str">
            <v>PCV</v>
          </cell>
          <cell r="BG150" t="str">
            <v>Maria Eugenia Ortiz</v>
          </cell>
          <cell r="BH150" t="str">
            <v>Antonio Rada</v>
          </cell>
          <cell r="BK150">
            <v>1</v>
          </cell>
          <cell r="BN150">
            <v>1</v>
          </cell>
          <cell r="BO150">
            <v>990200</v>
          </cell>
          <cell r="BP150">
            <v>67.5</v>
          </cell>
        </row>
        <row r="151">
          <cell r="B151">
            <v>901</v>
          </cell>
          <cell r="C151" t="str">
            <v>C4</v>
          </cell>
          <cell r="D151">
            <v>54.09</v>
          </cell>
          <cell r="E151">
            <v>2</v>
          </cell>
          <cell r="F151">
            <v>1</v>
          </cell>
          <cell r="G151">
            <v>1.39</v>
          </cell>
          <cell r="I151">
            <v>1</v>
          </cell>
          <cell r="J151">
            <v>118</v>
          </cell>
          <cell r="K151">
            <v>119</v>
          </cell>
          <cell r="L151" t="str">
            <v>DIFERENTE</v>
          </cell>
          <cell r="M151" t="str">
            <v>S-5_390-391</v>
          </cell>
          <cell r="N151" t="str">
            <v>S5_390-391</v>
          </cell>
          <cell r="O151" t="str">
            <v>S5_280</v>
          </cell>
          <cell r="P151" t="str">
            <v>MISMO SÓTANO</v>
          </cell>
          <cell r="Q151">
            <v>13175</v>
          </cell>
          <cell r="R151">
            <v>1003715.782</v>
          </cell>
          <cell r="S151">
            <v>1097061.3497259999</v>
          </cell>
          <cell r="T151">
            <v>1003751.1436413541</v>
          </cell>
          <cell r="U151">
            <v>1097100</v>
          </cell>
          <cell r="W151">
            <v>1097100</v>
          </cell>
          <cell r="AA151">
            <v>1097100</v>
          </cell>
          <cell r="AC151">
            <v>1097100</v>
          </cell>
          <cell r="AF151">
            <v>1097100</v>
          </cell>
          <cell r="AH151">
            <v>-10037.15782000008</v>
          </cell>
          <cell r="AI151">
            <v>1087062.8421799999</v>
          </cell>
          <cell r="AN151">
            <v>1087062.8421799999</v>
          </cell>
          <cell r="AO151">
            <v>1087100</v>
          </cell>
          <cell r="AP151">
            <v>1087062.8400000001</v>
          </cell>
          <cell r="AQ151">
            <v>108706.284218</v>
          </cell>
          <cell r="AR151">
            <v>10000</v>
          </cell>
          <cell r="AS151">
            <v>98706.284218000001</v>
          </cell>
          <cell r="AT151">
            <v>978356.5579619999</v>
          </cell>
          <cell r="AU151">
            <v>6680.7535897530261</v>
          </cell>
          <cell r="AV151">
            <v>522.14820873238784</v>
          </cell>
          <cell r="AW151">
            <v>317.05999563583333</v>
          </cell>
          <cell r="AX151">
            <v>7519.9617941212473</v>
          </cell>
          <cell r="AY151" t="e">
            <v>#REF!</v>
          </cell>
          <cell r="BF151" t="str">
            <v>PCV</v>
          </cell>
          <cell r="BG151" t="str">
            <v>Monica Arimany</v>
          </cell>
          <cell r="BH151" t="str">
            <v>Antonio Rada</v>
          </cell>
          <cell r="BJ151">
            <v>1</v>
          </cell>
          <cell r="BM151">
            <v>1</v>
          </cell>
          <cell r="BN151">
            <v>1</v>
          </cell>
          <cell r="BO151">
            <v>1087100</v>
          </cell>
          <cell r="BP151">
            <v>-10000</v>
          </cell>
        </row>
        <row r="152">
          <cell r="B152">
            <v>902</v>
          </cell>
          <cell r="C152" t="str">
            <v>C1</v>
          </cell>
          <cell r="D152">
            <v>55.09</v>
          </cell>
          <cell r="E152">
            <v>2</v>
          </cell>
          <cell r="F152">
            <v>1</v>
          </cell>
          <cell r="G152">
            <v>1.35</v>
          </cell>
          <cell r="I152">
            <v>1</v>
          </cell>
          <cell r="J152">
            <v>83</v>
          </cell>
          <cell r="K152">
            <v>85</v>
          </cell>
          <cell r="L152" t="str">
            <v>DIFERENTE</v>
          </cell>
          <cell r="M152" t="str">
            <v>S-4_290-291</v>
          </cell>
          <cell r="N152" t="str">
            <v>S4_290-291</v>
          </cell>
          <cell r="O152" t="str">
            <v>S4_209</v>
          </cell>
          <cell r="P152" t="str">
            <v>MISMO SÓTANO</v>
          </cell>
          <cell r="Q152">
            <v>13175</v>
          </cell>
          <cell r="R152">
            <v>1016633.63</v>
          </cell>
          <cell r="S152">
            <v>1111180.5575899999</v>
          </cell>
          <cell r="T152">
            <v>1016651.4181152791</v>
          </cell>
          <cell r="U152">
            <v>1111200</v>
          </cell>
          <cell r="V152">
            <v>55600</v>
          </cell>
          <cell r="W152">
            <v>1166800</v>
          </cell>
          <cell r="X152">
            <v>29170</v>
          </cell>
          <cell r="AA152">
            <v>1195970</v>
          </cell>
          <cell r="AC152">
            <v>1195970</v>
          </cell>
          <cell r="AF152">
            <v>1195970</v>
          </cell>
          <cell r="AH152">
            <v>0</v>
          </cell>
          <cell r="AI152">
            <v>1195970</v>
          </cell>
          <cell r="AN152">
            <v>1195970</v>
          </cell>
          <cell r="AO152">
            <v>1196000</v>
          </cell>
          <cell r="AP152">
            <v>1195970</v>
          </cell>
          <cell r="AQ152">
            <v>119597</v>
          </cell>
          <cell r="AR152">
            <v>10000</v>
          </cell>
          <cell r="AS152">
            <v>109597</v>
          </cell>
          <cell r="AT152">
            <v>1076373</v>
          </cell>
          <cell r="AU152">
            <v>7350.0634560498729</v>
          </cell>
          <cell r="AV152">
            <v>574.45951509606584</v>
          </cell>
          <cell r="AW152">
            <v>348.82458333333335</v>
          </cell>
          <cell r="AX152">
            <v>8273.3475544792727</v>
          </cell>
          <cell r="AY152" t="e">
            <v>#REF!</v>
          </cell>
          <cell r="BF152" t="str">
            <v>PCV</v>
          </cell>
          <cell r="BG152" t="str">
            <v>Waldir Edenilson Contreras</v>
          </cell>
          <cell r="BH152" t="str">
            <v>Antonio Rada</v>
          </cell>
          <cell r="BL152">
            <v>1</v>
          </cell>
          <cell r="BN152">
            <v>1</v>
          </cell>
          <cell r="BO152">
            <v>1196000</v>
          </cell>
          <cell r="BP152">
            <v>30</v>
          </cell>
        </row>
        <row r="153">
          <cell r="B153">
            <v>903</v>
          </cell>
          <cell r="C153" t="str">
            <v>A8</v>
          </cell>
          <cell r="D153">
            <v>35.94</v>
          </cell>
          <cell r="E153">
            <v>1</v>
          </cell>
          <cell r="G153">
            <v>1.49</v>
          </cell>
          <cell r="H153">
            <v>1</v>
          </cell>
          <cell r="L153" t="str">
            <v>IGUAL</v>
          </cell>
          <cell r="M153" t="str">
            <v>S-5_364</v>
          </cell>
          <cell r="N153" t="str">
            <v>S5_364</v>
          </cell>
          <cell r="O153" t="str">
            <v>S5_265</v>
          </cell>
          <cell r="P153" t="str">
            <v>MISMO SÓTANO</v>
          </cell>
          <cell r="Q153">
            <v>13368.75</v>
          </cell>
          <cell r="R153">
            <v>610051.78700000001</v>
          </cell>
          <cell r="S153">
            <v>666786.60319099994</v>
          </cell>
          <cell r="T153">
            <v>610064.04391582799</v>
          </cell>
          <cell r="U153">
            <v>666800</v>
          </cell>
          <cell r="V153">
            <v>36700</v>
          </cell>
          <cell r="W153">
            <v>703500</v>
          </cell>
          <cell r="AA153">
            <v>703500</v>
          </cell>
          <cell r="AC153">
            <v>703500</v>
          </cell>
          <cell r="AF153">
            <v>703500</v>
          </cell>
          <cell r="AH153">
            <v>0</v>
          </cell>
          <cell r="AI153">
            <v>703500</v>
          </cell>
          <cell r="AN153">
            <v>703500</v>
          </cell>
          <cell r="AO153">
            <v>703500</v>
          </cell>
          <cell r="AP153">
            <v>703500</v>
          </cell>
          <cell r="AQ153">
            <v>70350</v>
          </cell>
          <cell r="AR153">
            <v>10000</v>
          </cell>
          <cell r="AS153">
            <v>60350</v>
          </cell>
          <cell r="AT153">
            <v>633150</v>
          </cell>
          <cell r="AU153">
            <v>4323.4944365921265</v>
          </cell>
          <cell r="AV153">
            <v>337.91171088746563</v>
          </cell>
          <cell r="AW153">
            <v>205.1875</v>
          </cell>
          <cell r="AX153">
            <v>4866.5936474795917</v>
          </cell>
          <cell r="AY153" t="e">
            <v>#REF!</v>
          </cell>
          <cell r="BF153" t="str">
            <v>PCV</v>
          </cell>
          <cell r="BG153" t="str">
            <v>Vivian Carranza</v>
          </cell>
          <cell r="BH153" t="str">
            <v>Alexander Franco</v>
          </cell>
          <cell r="BL153">
            <v>1</v>
          </cell>
          <cell r="BN153">
            <v>1</v>
          </cell>
          <cell r="BO153">
            <v>703500</v>
          </cell>
          <cell r="BP153">
            <v>0</v>
          </cell>
        </row>
        <row r="154">
          <cell r="B154">
            <v>904</v>
          </cell>
          <cell r="C154" t="str">
            <v>A1</v>
          </cell>
          <cell r="D154">
            <v>35.85</v>
          </cell>
          <cell r="E154">
            <v>1</v>
          </cell>
          <cell r="G154">
            <v>1.58</v>
          </cell>
          <cell r="H154">
            <v>1</v>
          </cell>
          <cell r="L154" t="str">
            <v>IGUAL</v>
          </cell>
          <cell r="M154" t="str">
            <v>S-5_365</v>
          </cell>
          <cell r="N154" t="str">
            <v>S5_365</v>
          </cell>
          <cell r="O154" t="str">
            <v>S5_266</v>
          </cell>
          <cell r="P154" t="str">
            <v>MISMO SÓTANO</v>
          </cell>
          <cell r="Q154">
            <v>13368.75</v>
          </cell>
          <cell r="R154">
            <v>609427.19149999996</v>
          </cell>
          <cell r="S154">
            <v>666103.92030949995</v>
          </cell>
          <cell r="T154">
            <v>609515.09606587375</v>
          </cell>
          <cell r="U154">
            <v>666200</v>
          </cell>
          <cell r="V154">
            <v>36700</v>
          </cell>
          <cell r="W154">
            <v>702900</v>
          </cell>
          <cell r="AA154">
            <v>702900</v>
          </cell>
          <cell r="AC154">
            <v>702900</v>
          </cell>
          <cell r="AF154">
            <v>702900</v>
          </cell>
          <cell r="AH154">
            <v>-6430.9200000000419</v>
          </cell>
          <cell r="AI154">
            <v>696469.08</v>
          </cell>
          <cell r="AN154">
            <v>696469.08</v>
          </cell>
          <cell r="AO154">
            <v>696500</v>
          </cell>
          <cell r="AP154">
            <v>696469.08</v>
          </cell>
          <cell r="AQ154">
            <v>69646.907999999996</v>
          </cell>
          <cell r="AR154">
            <v>10000</v>
          </cell>
          <cell r="AS154">
            <v>59646.907999999996</v>
          </cell>
          <cell r="AT154">
            <v>626822.17200000002</v>
          </cell>
          <cell r="AU154">
            <v>4280.2845666502299</v>
          </cell>
          <cell r="AV154">
            <v>334.53455352241531</v>
          </cell>
          <cell r="AW154">
            <v>203.13681499999998</v>
          </cell>
          <cell r="AX154">
            <v>4817.9559351726448</v>
          </cell>
          <cell r="AY154" t="e">
            <v>#REF!</v>
          </cell>
          <cell r="BF154" t="str">
            <v>PCV</v>
          </cell>
          <cell r="BG154" t="str">
            <v>Juan Jose Silva</v>
          </cell>
          <cell r="BH154" t="str">
            <v>Alexander Franco</v>
          </cell>
          <cell r="BL154">
            <v>1</v>
          </cell>
          <cell r="BN154">
            <v>1</v>
          </cell>
          <cell r="BO154">
            <v>702900</v>
          </cell>
          <cell r="BP154">
            <v>0</v>
          </cell>
        </row>
        <row r="155">
          <cell r="B155">
            <v>905</v>
          </cell>
          <cell r="C155" t="str">
            <v>B5</v>
          </cell>
          <cell r="D155">
            <v>52.51</v>
          </cell>
          <cell r="E155">
            <v>2</v>
          </cell>
          <cell r="G155">
            <v>1.35</v>
          </cell>
          <cell r="H155">
            <v>1</v>
          </cell>
          <cell r="L155" t="str">
            <v>IGUAL</v>
          </cell>
          <cell r="M155" t="str">
            <v>S-3_157</v>
          </cell>
          <cell r="N155" t="str">
            <v>S3_157</v>
          </cell>
          <cell r="O155" t="str">
            <v>S3_113</v>
          </cell>
          <cell r="P155" t="str">
            <v>MISMO SÓTANO</v>
          </cell>
          <cell r="Q155">
            <v>13175</v>
          </cell>
          <cell r="R155">
            <v>820498.13</v>
          </cell>
          <cell r="S155">
            <v>896804.45608999999</v>
          </cell>
          <cell r="T155">
            <v>820585.54437328456</v>
          </cell>
          <cell r="U155">
            <v>896900</v>
          </cell>
          <cell r="V155">
            <v>44900</v>
          </cell>
          <cell r="W155">
            <v>941800</v>
          </cell>
          <cell r="AA155">
            <v>941800</v>
          </cell>
          <cell r="AC155">
            <v>941800</v>
          </cell>
          <cell r="AF155">
            <v>941800</v>
          </cell>
          <cell r="AH155">
            <v>0</v>
          </cell>
          <cell r="AI155">
            <v>941800</v>
          </cell>
          <cell r="AN155">
            <v>941800</v>
          </cell>
          <cell r="AO155">
            <v>941800</v>
          </cell>
          <cell r="AP155">
            <v>941800</v>
          </cell>
          <cell r="AQ155">
            <v>94180</v>
          </cell>
          <cell r="AR155">
            <v>10000</v>
          </cell>
          <cell r="AS155">
            <v>84180</v>
          </cell>
          <cell r="AT155">
            <v>847620</v>
          </cell>
          <cell r="AU155">
            <v>5788.0128790084782</v>
          </cell>
          <cell r="AV155">
            <v>452.37419945105211</v>
          </cell>
          <cell r="AW155">
            <v>274.69166666666666</v>
          </cell>
          <cell r="AX155">
            <v>6515.0787451261967</v>
          </cell>
          <cell r="AY155" t="e">
            <v>#REF!</v>
          </cell>
          <cell r="BF155" t="str">
            <v>PCV</v>
          </cell>
          <cell r="BG155" t="str">
            <v>Roberto Andres Hernandez Benavides</v>
          </cell>
          <cell r="BH155" t="str">
            <v>Antonio Rada</v>
          </cell>
          <cell r="BL155">
            <v>1</v>
          </cell>
          <cell r="BN155">
            <v>1</v>
          </cell>
          <cell r="BO155">
            <v>941800</v>
          </cell>
          <cell r="BP155">
            <v>0</v>
          </cell>
        </row>
        <row r="156">
          <cell r="B156">
            <v>906</v>
          </cell>
          <cell r="C156" t="str">
            <v>B8</v>
          </cell>
          <cell r="D156">
            <v>52.64</v>
          </cell>
          <cell r="E156">
            <v>2</v>
          </cell>
          <cell r="G156">
            <v>1.26</v>
          </cell>
          <cell r="H156">
            <v>1</v>
          </cell>
          <cell r="L156" t="str">
            <v>IGUAL</v>
          </cell>
          <cell r="M156" t="str">
            <v>S-3_158</v>
          </cell>
          <cell r="N156" t="str">
            <v>S3_158</v>
          </cell>
          <cell r="O156" t="str">
            <v>S3_114</v>
          </cell>
          <cell r="P156" t="str">
            <v>MISMO SÓTANO</v>
          </cell>
          <cell r="Q156">
            <v>13175</v>
          </cell>
          <cell r="R156">
            <v>821632.28799999994</v>
          </cell>
          <cell r="S156">
            <v>898044.09078399988</v>
          </cell>
          <cell r="T156">
            <v>821683.44007319305</v>
          </cell>
          <cell r="U156">
            <v>898100</v>
          </cell>
          <cell r="V156">
            <v>45000</v>
          </cell>
          <cell r="W156">
            <v>943100</v>
          </cell>
          <cell r="AA156">
            <v>943100</v>
          </cell>
          <cell r="AC156">
            <v>943100</v>
          </cell>
          <cell r="AF156">
            <v>943100</v>
          </cell>
          <cell r="AG156">
            <v>141465</v>
          </cell>
          <cell r="AH156">
            <v>18079.578041069908</v>
          </cell>
          <cell r="AI156">
            <v>1102644.5780410699</v>
          </cell>
          <cell r="AJ156">
            <v>50000</v>
          </cell>
          <cell r="AK156">
            <v>10000</v>
          </cell>
          <cell r="AN156">
            <v>1162644.5780410699</v>
          </cell>
          <cell r="AO156">
            <v>1162700</v>
          </cell>
          <cell r="AP156">
            <v>1162700</v>
          </cell>
          <cell r="AQ156">
            <v>110264.45780410699</v>
          </cell>
          <cell r="AR156">
            <v>10000</v>
          </cell>
          <cell r="AS156">
            <v>100264.45780410699</v>
          </cell>
          <cell r="AT156">
            <v>992380.12023696292</v>
          </cell>
          <cell r="AU156">
            <v>6776.5141417186051</v>
          </cell>
          <cell r="AV156">
            <v>529.63257408194113</v>
          </cell>
          <cell r="AW156">
            <v>321.60466859531203</v>
          </cell>
          <cell r="AX156">
            <v>7627.7513843958586</v>
          </cell>
          <cell r="AY156" t="e">
            <v>#REF!</v>
          </cell>
          <cell r="BF156" t="str">
            <v>PCV</v>
          </cell>
          <cell r="BG156" t="str">
            <v>Juan Carlos del Cid Ramírez / Negocios Estratégicos Regionales, S.A.</v>
          </cell>
          <cell r="BH156" t="str">
            <v>Erwin Cardona</v>
          </cell>
          <cell r="BI156">
            <v>46048</v>
          </cell>
          <cell r="BL156" t="str">
            <v>Lead</v>
          </cell>
          <cell r="BN156">
            <v>1</v>
          </cell>
          <cell r="BO156">
            <v>943100</v>
          </cell>
          <cell r="BP156">
            <v>0</v>
          </cell>
        </row>
        <row r="157">
          <cell r="B157">
            <v>907</v>
          </cell>
          <cell r="C157" t="str">
            <v>B4</v>
          </cell>
          <cell r="D157">
            <v>49.77</v>
          </cell>
          <cell r="E157">
            <v>2</v>
          </cell>
          <cell r="G157">
            <v>1.49</v>
          </cell>
          <cell r="H157">
            <v>1</v>
          </cell>
          <cell r="L157" t="str">
            <v>IGUAL</v>
          </cell>
          <cell r="M157" t="str">
            <v>S-3_159</v>
          </cell>
          <cell r="N157" t="str">
            <v>S3_159</v>
          </cell>
          <cell r="O157" t="str">
            <v>S3_115</v>
          </cell>
          <cell r="P157" t="str">
            <v>MISMO SÓTANO</v>
          </cell>
          <cell r="Q157">
            <v>13175</v>
          </cell>
          <cell r="R157">
            <v>785298.66200000001</v>
          </cell>
          <cell r="S157">
            <v>858331.43756600004</v>
          </cell>
          <cell r="T157">
            <v>785361.39066788659</v>
          </cell>
          <cell r="U157">
            <v>858400</v>
          </cell>
          <cell r="V157">
            <v>43000</v>
          </cell>
          <cell r="W157">
            <v>901400</v>
          </cell>
          <cell r="AA157">
            <v>901400</v>
          </cell>
          <cell r="AC157">
            <v>901400</v>
          </cell>
          <cell r="AF157">
            <v>901400</v>
          </cell>
          <cell r="AH157">
            <v>0</v>
          </cell>
          <cell r="AI157">
            <v>901400</v>
          </cell>
          <cell r="AN157">
            <v>901400</v>
          </cell>
          <cell r="AO157">
            <v>901400</v>
          </cell>
          <cell r="AP157">
            <v>901400</v>
          </cell>
          <cell r="AQ157">
            <v>90140</v>
          </cell>
          <cell r="AR157">
            <v>10000</v>
          </cell>
          <cell r="AS157">
            <v>80140</v>
          </cell>
          <cell r="AT157">
            <v>811260</v>
          </cell>
          <cell r="AU157">
            <v>5539.7269156277798</v>
          </cell>
          <cell r="AV157">
            <v>432.96889295516917</v>
          </cell>
          <cell r="AW157">
            <v>262.90833333333336</v>
          </cell>
          <cell r="AX157">
            <v>6235.604141916283</v>
          </cell>
          <cell r="AY157" t="e">
            <v>#REF!</v>
          </cell>
          <cell r="BF157" t="str">
            <v>PCV</v>
          </cell>
          <cell r="BG157" t="str">
            <v xml:space="preserve">Estefani Pamela Herrera Escobar </v>
          </cell>
          <cell r="BH157" t="str">
            <v>Brenda Búcaro</v>
          </cell>
          <cell r="BL157">
            <v>1</v>
          </cell>
          <cell r="BN157">
            <v>1</v>
          </cell>
          <cell r="BO157">
            <v>901400</v>
          </cell>
          <cell r="BP157">
            <v>0</v>
          </cell>
        </row>
        <row r="158">
          <cell r="B158">
            <v>908</v>
          </cell>
          <cell r="C158" t="str">
            <v>B3</v>
          </cell>
          <cell r="D158">
            <v>48.96</v>
          </cell>
          <cell r="E158">
            <v>2</v>
          </cell>
          <cell r="G158">
            <v>1.26</v>
          </cell>
          <cell r="H158">
            <v>1</v>
          </cell>
          <cell r="L158" t="str">
            <v>IGUAL</v>
          </cell>
          <cell r="M158" t="str">
            <v>S-3_160</v>
          </cell>
          <cell r="N158" t="str">
            <v>S3_160</v>
          </cell>
          <cell r="O158" t="str">
            <v>S3_116</v>
          </cell>
          <cell r="P158" t="str">
            <v>MISMO SÓTANO</v>
          </cell>
          <cell r="Q158">
            <v>13175</v>
          </cell>
          <cell r="R158">
            <v>773148.28799999994</v>
          </cell>
          <cell r="S158">
            <v>845051.0787839999</v>
          </cell>
          <cell r="T158">
            <v>773193.04666056728</v>
          </cell>
          <cell r="U158">
            <v>845100</v>
          </cell>
          <cell r="V158">
            <v>42300</v>
          </cell>
          <cell r="W158">
            <v>887400</v>
          </cell>
          <cell r="AA158">
            <v>887400</v>
          </cell>
          <cell r="AC158">
            <v>887400</v>
          </cell>
          <cell r="AF158">
            <v>887400</v>
          </cell>
          <cell r="AH158">
            <v>0</v>
          </cell>
          <cell r="AI158">
            <v>887400</v>
          </cell>
          <cell r="AN158">
            <v>887400</v>
          </cell>
          <cell r="AO158">
            <v>887400</v>
          </cell>
          <cell r="AP158">
            <v>887400</v>
          </cell>
          <cell r="AQ158">
            <v>88740</v>
          </cell>
          <cell r="AR158">
            <v>10000</v>
          </cell>
          <cell r="AS158">
            <v>78740</v>
          </cell>
          <cell r="AT158">
            <v>798660</v>
          </cell>
          <cell r="AU158">
            <v>5453.6872253473384</v>
          </cell>
          <cell r="AV158">
            <v>426.24428179322962</v>
          </cell>
          <cell r="AW158">
            <v>258.82499999999999</v>
          </cell>
          <cell r="AX158">
            <v>6138.7565071405679</v>
          </cell>
          <cell r="AY158" t="e">
            <v>#REF!</v>
          </cell>
          <cell r="BF158" t="str">
            <v>PCV</v>
          </cell>
          <cell r="BG158" t="str">
            <v>Jorge Pablo Gonzalez Ordoñez</v>
          </cell>
          <cell r="BH158" t="str">
            <v>Antonio Rada</v>
          </cell>
          <cell r="BL158">
            <v>1</v>
          </cell>
          <cell r="BN158">
            <v>1</v>
          </cell>
          <cell r="BO158">
            <v>887400</v>
          </cell>
          <cell r="BP158">
            <v>0</v>
          </cell>
        </row>
        <row r="159">
          <cell r="B159">
            <v>909</v>
          </cell>
          <cell r="C159" t="str">
            <v>E8</v>
          </cell>
          <cell r="D159">
            <v>74.260000000000005</v>
          </cell>
          <cell r="E159">
            <v>3</v>
          </cell>
          <cell r="F159">
            <v>1</v>
          </cell>
          <cell r="G159">
            <v>1.26</v>
          </cell>
          <cell r="I159">
            <v>1</v>
          </cell>
          <cell r="J159">
            <v>29</v>
          </cell>
          <cell r="K159">
            <v>17</v>
          </cell>
          <cell r="L159" t="str">
            <v>DIFERENTE</v>
          </cell>
          <cell r="M159" t="str">
            <v>S-1_32-33</v>
          </cell>
          <cell r="N159" t="str">
            <v>S1_32-33</v>
          </cell>
          <cell r="O159" t="str">
            <v>S1_15</v>
          </cell>
          <cell r="P159" t="str">
            <v>MISMO SÓTANO</v>
          </cell>
          <cell r="Q159">
            <v>12710</v>
          </cell>
          <cell r="R159">
            <v>1234088.888</v>
          </cell>
          <cell r="S159">
            <v>1348859.1545840001</v>
          </cell>
          <cell r="T159">
            <v>1234126.2580054896</v>
          </cell>
          <cell r="U159">
            <v>1348900</v>
          </cell>
          <cell r="V159">
            <v>33800</v>
          </cell>
          <cell r="W159">
            <v>1382700</v>
          </cell>
          <cell r="AA159">
            <v>1382700</v>
          </cell>
          <cell r="AC159">
            <v>1382700</v>
          </cell>
          <cell r="AF159">
            <v>1382700</v>
          </cell>
          <cell r="AH159">
            <v>0</v>
          </cell>
          <cell r="AI159">
            <v>1382700</v>
          </cell>
          <cell r="AN159">
            <v>1382700</v>
          </cell>
          <cell r="AO159">
            <v>1382700</v>
          </cell>
          <cell r="AP159">
            <v>1382700</v>
          </cell>
          <cell r="AQ159">
            <v>138270</v>
          </cell>
          <cell r="AR159">
            <v>10000</v>
          </cell>
          <cell r="AS159">
            <v>128270</v>
          </cell>
          <cell r="AT159">
            <v>1244430</v>
          </cell>
          <cell r="AU159">
            <v>8497.6485536260607</v>
          </cell>
          <cell r="AV159">
            <v>664.15141811527894</v>
          </cell>
          <cell r="AW159">
            <v>403.28749999999997</v>
          </cell>
          <cell r="AX159">
            <v>9565.0874717413408</v>
          </cell>
          <cell r="AY159" t="e">
            <v>#REF!</v>
          </cell>
          <cell r="BF159" t="str">
            <v>PCV</v>
          </cell>
          <cell r="BG159" t="str">
            <v xml:space="preserve">Alba Lucila Martinez Tobar </v>
          </cell>
          <cell r="BH159" t="str">
            <v>Brenda Bucaro</v>
          </cell>
          <cell r="BL159">
            <v>1</v>
          </cell>
          <cell r="BM159">
            <v>1</v>
          </cell>
          <cell r="BN159">
            <v>1</v>
          </cell>
          <cell r="BO159">
            <v>1382700</v>
          </cell>
          <cell r="BP159">
            <v>0</v>
          </cell>
        </row>
        <row r="160">
          <cell r="B160">
            <v>910</v>
          </cell>
          <cell r="C160" t="str">
            <v>A10</v>
          </cell>
          <cell r="D160">
            <v>44.7</v>
          </cell>
          <cell r="E160">
            <v>1</v>
          </cell>
          <cell r="G160">
            <v>2.88</v>
          </cell>
          <cell r="H160">
            <v>1</v>
          </cell>
          <cell r="L160" t="str">
            <v>IGUAL</v>
          </cell>
          <cell r="M160" t="str">
            <v>S-5_347</v>
          </cell>
          <cell r="N160" t="str">
            <v>S5_347</v>
          </cell>
          <cell r="O160" t="str">
            <v>S5_248</v>
          </cell>
          <cell r="P160" t="str">
            <v>MISMO SÓTANO</v>
          </cell>
          <cell r="Q160">
            <v>13368.75</v>
          </cell>
          <cell r="R160">
            <v>736098.06900000002</v>
          </cell>
          <cell r="S160">
            <v>804555.18941700005</v>
          </cell>
          <cell r="T160">
            <v>736139.06678865512</v>
          </cell>
          <cell r="U160">
            <v>804600</v>
          </cell>
          <cell r="V160">
            <v>44300</v>
          </cell>
          <cell r="W160">
            <v>848900</v>
          </cell>
          <cell r="X160">
            <v>29711.500000000004</v>
          </cell>
          <cell r="AA160">
            <v>878611.5</v>
          </cell>
          <cell r="AB160">
            <v>87861.150000000009</v>
          </cell>
          <cell r="AC160">
            <v>966472.65</v>
          </cell>
          <cell r="AF160">
            <v>966472.65</v>
          </cell>
          <cell r="AH160">
            <v>16110.991688127979</v>
          </cell>
          <cell r="AI160">
            <v>982583.641688128</v>
          </cell>
          <cell r="AJ160">
            <v>226168.40117138816</v>
          </cell>
          <cell r="AK160">
            <v>10000</v>
          </cell>
          <cell r="AN160">
            <v>1218752.0428595161</v>
          </cell>
          <cell r="AO160">
            <v>1218800</v>
          </cell>
          <cell r="AQ160">
            <v>98258.364168812812</v>
          </cell>
          <cell r="AR160">
            <v>10000</v>
          </cell>
          <cell r="AS160">
            <v>88258.364168812812</v>
          </cell>
          <cell r="AT160">
            <v>884325.27751931525</v>
          </cell>
          <cell r="AU160">
            <v>6038.6565861052632</v>
          </cell>
          <cell r="AV160">
            <v>471.96378031680433</v>
          </cell>
          <cell r="AW160">
            <v>286.58689549237067</v>
          </cell>
          <cell r="AX160">
            <v>6797.2072619144383</v>
          </cell>
          <cell r="AY160" t="e">
            <v>#REF!</v>
          </cell>
          <cell r="BF160" t="str">
            <v>Congelado</v>
          </cell>
          <cell r="BG160" t="str">
            <v>Estrategia Comercial</v>
          </cell>
          <cell r="BH160" t="str">
            <v>Junta Directiva</v>
          </cell>
          <cell r="BO160">
            <v>878700</v>
          </cell>
          <cell r="BP160">
            <v>88.5</v>
          </cell>
        </row>
        <row r="161">
          <cell r="B161">
            <v>911</v>
          </cell>
          <cell r="C161" t="str">
            <v>C10</v>
          </cell>
          <cell r="D161">
            <v>58.06</v>
          </cell>
          <cell r="E161">
            <v>2</v>
          </cell>
          <cell r="G161">
            <v>1.49</v>
          </cell>
          <cell r="H161">
            <v>1</v>
          </cell>
          <cell r="L161" t="str">
            <v>IGUAL</v>
          </cell>
          <cell r="M161" t="str">
            <v>S-2_77</v>
          </cell>
          <cell r="N161" t="str">
            <v>S2_77</v>
          </cell>
          <cell r="O161" t="str">
            <v>S2_54</v>
          </cell>
          <cell r="P161" t="str">
            <v>MISMO SÓTANO</v>
          </cell>
          <cell r="Q161">
            <v>13175</v>
          </cell>
          <cell r="R161">
            <v>894519.41200000001</v>
          </cell>
          <cell r="S161">
            <v>977709.71731600002</v>
          </cell>
          <cell r="T161">
            <v>894602.01280878321</v>
          </cell>
          <cell r="U161">
            <v>977800</v>
          </cell>
          <cell r="V161">
            <v>48900</v>
          </cell>
          <cell r="W161">
            <v>1026700</v>
          </cell>
          <cell r="X161">
            <v>25667.5</v>
          </cell>
          <cell r="AA161">
            <v>1052367.5</v>
          </cell>
          <cell r="AC161">
            <v>1052367.5</v>
          </cell>
          <cell r="AF161">
            <v>1052367.5</v>
          </cell>
          <cell r="AH161">
            <v>0</v>
          </cell>
          <cell r="AI161">
            <v>1052367.5</v>
          </cell>
          <cell r="AN161">
            <v>1052367.5</v>
          </cell>
          <cell r="AO161">
            <v>1052400</v>
          </cell>
          <cell r="AP161">
            <v>1052367.5</v>
          </cell>
          <cell r="AQ161">
            <v>105236.75</v>
          </cell>
          <cell r="AR161">
            <v>10000</v>
          </cell>
          <cell r="AS161">
            <v>95236.75</v>
          </cell>
          <cell r="AT161">
            <v>947130.75</v>
          </cell>
          <cell r="AU161">
            <v>6467.5266972286636</v>
          </cell>
          <cell r="AV161">
            <v>505.48301692589195</v>
          </cell>
          <cell r="AW161">
            <v>306.94052083333332</v>
          </cell>
          <cell r="AX161">
            <v>7279.9502349878894</v>
          </cell>
          <cell r="AY161" t="e">
            <v>#REF!</v>
          </cell>
          <cell r="BF161" t="str">
            <v>PCV</v>
          </cell>
          <cell r="BG161" t="str">
            <v>Mario Alberto Maldonado Recinos</v>
          </cell>
          <cell r="BH161" t="str">
            <v>Brenda Búcaro</v>
          </cell>
          <cell r="BL161">
            <v>1</v>
          </cell>
          <cell r="BN161">
            <v>1</v>
          </cell>
          <cell r="BO161">
            <v>1026700</v>
          </cell>
          <cell r="BP161">
            <v>-25667.5</v>
          </cell>
        </row>
        <row r="162">
          <cell r="B162">
            <v>912</v>
          </cell>
          <cell r="C162" t="str">
            <v>C7</v>
          </cell>
          <cell r="D162">
            <v>57.85</v>
          </cell>
          <cell r="E162">
            <v>2</v>
          </cell>
          <cell r="G162">
            <v>1.35</v>
          </cell>
          <cell r="H162">
            <v>1</v>
          </cell>
          <cell r="L162" t="str">
            <v>IGUAL</v>
          </cell>
          <cell r="M162" t="str">
            <v>S-2_78</v>
          </cell>
          <cell r="N162" t="str">
            <v>S2_78</v>
          </cell>
          <cell r="O162" t="str">
            <v>S2_55</v>
          </cell>
          <cell r="P162" t="str">
            <v>MISMO SÓTANO</v>
          </cell>
          <cell r="Q162">
            <v>13175</v>
          </cell>
          <cell r="R162">
            <v>890852.63</v>
          </cell>
          <cell r="S162">
            <v>973701.92458999995</v>
          </cell>
          <cell r="T162">
            <v>890942.36047575483</v>
          </cell>
          <cell r="U162">
            <v>973800</v>
          </cell>
          <cell r="W162">
            <v>973800</v>
          </cell>
          <cell r="AA162">
            <v>973800</v>
          </cell>
          <cell r="AC162">
            <v>973800</v>
          </cell>
          <cell r="AF162">
            <v>973800</v>
          </cell>
          <cell r="AI162">
            <v>973800</v>
          </cell>
          <cell r="AN162">
            <v>973800</v>
          </cell>
          <cell r="AO162">
            <v>973800</v>
          </cell>
          <cell r="AP162">
            <v>973800</v>
          </cell>
          <cell r="AQ162">
            <v>97380</v>
          </cell>
          <cell r="AR162">
            <v>10000</v>
          </cell>
          <cell r="AS162">
            <v>87380</v>
          </cell>
          <cell r="AT162">
            <v>876420</v>
          </cell>
          <cell r="AU162">
            <v>5984.6750282209132</v>
          </cell>
          <cell r="AV162">
            <v>467.74473924977127</v>
          </cell>
          <cell r="AW162">
            <v>284.02500000000003</v>
          </cell>
          <cell r="AX162">
            <v>6736.4447674706844</v>
          </cell>
          <cell r="AY162" t="e">
            <v>#REF!</v>
          </cell>
          <cell r="BF162" t="str">
            <v>PCV</v>
          </cell>
          <cell r="BG162" t="str">
            <v>Octavio Herrera (Alexander F)</v>
          </cell>
          <cell r="BH162" t="str">
            <v>Junta Directiva</v>
          </cell>
          <cell r="BJ162">
            <v>1</v>
          </cell>
          <cell r="BO162">
            <v>1048100</v>
          </cell>
          <cell r="BP162">
            <v>74300</v>
          </cell>
        </row>
        <row r="163">
          <cell r="B163">
            <v>913</v>
          </cell>
          <cell r="C163" t="str">
            <v>B6</v>
          </cell>
          <cell r="D163">
            <v>50.03</v>
          </cell>
          <cell r="E163">
            <v>2</v>
          </cell>
          <cell r="G163">
            <v>1.26</v>
          </cell>
          <cell r="H163">
            <v>1</v>
          </cell>
          <cell r="L163" t="str">
            <v>IGUAL</v>
          </cell>
          <cell r="M163" t="str">
            <v>S-3_162</v>
          </cell>
          <cell r="N163" t="str">
            <v>S3_162</v>
          </cell>
          <cell r="O163" t="str">
            <v>S3_118</v>
          </cell>
          <cell r="P163" t="str">
            <v>MISMO SÓTANO</v>
          </cell>
          <cell r="Q163">
            <v>13175</v>
          </cell>
          <cell r="R163">
            <v>787245.53799999994</v>
          </cell>
          <cell r="S163">
            <v>860459.37303399993</v>
          </cell>
          <cell r="T163">
            <v>787282.70814272645</v>
          </cell>
          <cell r="U163">
            <v>860500</v>
          </cell>
          <cell r="V163">
            <v>43100</v>
          </cell>
          <cell r="W163">
            <v>903600</v>
          </cell>
          <cell r="AA163">
            <v>903600</v>
          </cell>
          <cell r="AC163">
            <v>903600</v>
          </cell>
          <cell r="AF163">
            <v>903600</v>
          </cell>
          <cell r="AH163">
            <v>0</v>
          </cell>
          <cell r="AI163">
            <v>903600</v>
          </cell>
          <cell r="AN163">
            <v>903600</v>
          </cell>
          <cell r="AO163">
            <v>903600</v>
          </cell>
          <cell r="AP163">
            <v>903600</v>
          </cell>
          <cell r="AQ163">
            <v>90360</v>
          </cell>
          <cell r="AR163">
            <v>10000</v>
          </cell>
          <cell r="AS163">
            <v>80360</v>
          </cell>
          <cell r="AT163">
            <v>813240</v>
          </cell>
          <cell r="AU163">
            <v>5553.2474383861345</v>
          </cell>
          <cell r="AV163">
            <v>434.02561756633116</v>
          </cell>
          <cell r="AW163">
            <v>263.55</v>
          </cell>
          <cell r="AX163">
            <v>6250.8230559524654</v>
          </cell>
          <cell r="AY163" t="e">
            <v>#REF!</v>
          </cell>
          <cell r="BF163" t="str">
            <v>PCV</v>
          </cell>
          <cell r="BG163" t="str">
            <v>Wender Campos</v>
          </cell>
          <cell r="BH163" t="str">
            <v xml:space="preserve">Antonio Rada </v>
          </cell>
          <cell r="BN163">
            <v>1</v>
          </cell>
          <cell r="BO163">
            <v>903600</v>
          </cell>
          <cell r="BP163">
            <v>0</v>
          </cell>
        </row>
        <row r="164">
          <cell r="B164">
            <v>914</v>
          </cell>
          <cell r="C164" t="str">
            <v>B1</v>
          </cell>
          <cell r="D164">
            <v>48.69</v>
          </cell>
          <cell r="E164">
            <v>2</v>
          </cell>
          <cell r="G164">
            <v>1.26</v>
          </cell>
          <cell r="H164">
            <v>1</v>
          </cell>
          <cell r="L164" t="str">
            <v>IGUAL</v>
          </cell>
          <cell r="M164" t="str">
            <v>S-3_163</v>
          </cell>
          <cell r="N164" t="str">
            <v>S3_163</v>
          </cell>
          <cell r="O164" t="str">
            <v>S3_119</v>
          </cell>
          <cell r="P164" t="str">
            <v>MISMO SÓTANO</v>
          </cell>
          <cell r="Q164">
            <v>13175</v>
          </cell>
          <cell r="R164">
            <v>769591.03799999994</v>
          </cell>
          <cell r="S164">
            <v>841163.00453399995</v>
          </cell>
          <cell r="T164">
            <v>769624.88563586457</v>
          </cell>
          <cell r="U164">
            <v>841200</v>
          </cell>
          <cell r="V164">
            <v>42100</v>
          </cell>
          <cell r="W164">
            <v>883300</v>
          </cell>
          <cell r="AA164">
            <v>883300</v>
          </cell>
          <cell r="AC164">
            <v>883300</v>
          </cell>
          <cell r="AF164">
            <v>883300</v>
          </cell>
          <cell r="AH164">
            <v>0</v>
          </cell>
          <cell r="AI164">
            <v>883300</v>
          </cell>
          <cell r="AN164">
            <v>883300</v>
          </cell>
          <cell r="AO164">
            <v>883300</v>
          </cell>
          <cell r="AP164">
            <v>883300</v>
          </cell>
          <cell r="AQ164">
            <v>88330</v>
          </cell>
          <cell r="AR164">
            <v>10000</v>
          </cell>
          <cell r="AS164">
            <v>78330</v>
          </cell>
          <cell r="AT164">
            <v>794970</v>
          </cell>
          <cell r="AU164">
            <v>5428.4898874794962</v>
          </cell>
          <cell r="AV164">
            <v>424.2749313815188</v>
          </cell>
          <cell r="AW164">
            <v>257.62916666666666</v>
          </cell>
          <cell r="AX164">
            <v>6110.3939855276813</v>
          </cell>
          <cell r="AY164" t="e">
            <v>#REF!</v>
          </cell>
          <cell r="BF164" t="str">
            <v xml:space="preserve">PCV </v>
          </cell>
          <cell r="BG164" t="str">
            <v>Rebecca Gonzalez Ordoñez</v>
          </cell>
          <cell r="BH164" t="str">
            <v>Antonio Rada</v>
          </cell>
          <cell r="BL164">
            <v>1</v>
          </cell>
          <cell r="BN164">
            <v>1</v>
          </cell>
          <cell r="BO164">
            <v>883300</v>
          </cell>
          <cell r="BP164">
            <v>0</v>
          </cell>
        </row>
        <row r="165">
          <cell r="B165">
            <v>915</v>
          </cell>
          <cell r="C165" t="str">
            <v>E2</v>
          </cell>
          <cell r="D165">
            <v>70.81</v>
          </cell>
          <cell r="E165">
            <v>3</v>
          </cell>
          <cell r="F165">
            <v>1</v>
          </cell>
          <cell r="G165">
            <v>1.26</v>
          </cell>
          <cell r="I165">
            <v>1</v>
          </cell>
          <cell r="J165">
            <v>53</v>
          </cell>
          <cell r="K165">
            <v>12</v>
          </cell>
          <cell r="L165" t="str">
            <v>DIFERENTE</v>
          </cell>
          <cell r="M165" t="str">
            <v>S-1_34-35</v>
          </cell>
          <cell r="N165" t="str">
            <v>S1_34-35</v>
          </cell>
          <cell r="O165" t="str">
            <v>S1_16</v>
          </cell>
          <cell r="P165" t="str">
            <v>MISMO SÓTANO</v>
          </cell>
          <cell r="Q165">
            <v>12710</v>
          </cell>
          <cell r="R165">
            <v>1190239.388</v>
          </cell>
          <cell r="S165">
            <v>1300931.651084</v>
          </cell>
          <cell r="T165">
            <v>1190301.9213174749</v>
          </cell>
          <cell r="U165">
            <v>1301000</v>
          </cell>
          <cell r="V165">
            <v>32600</v>
          </cell>
          <cell r="W165">
            <v>1333600</v>
          </cell>
          <cell r="AA165">
            <v>1333600</v>
          </cell>
          <cell r="AC165">
            <v>1333600</v>
          </cell>
          <cell r="AF165">
            <v>1333600</v>
          </cell>
          <cell r="AH165">
            <v>-24402.560000000056</v>
          </cell>
          <cell r="AI165">
            <v>1309197.44</v>
          </cell>
          <cell r="AN165">
            <v>1309197.44</v>
          </cell>
          <cell r="AO165">
            <v>1309200</v>
          </cell>
          <cell r="AP165">
            <v>1333600</v>
          </cell>
          <cell r="AQ165">
            <v>130919.74400000001</v>
          </cell>
          <cell r="AR165">
            <v>10000</v>
          </cell>
          <cell r="AS165">
            <v>120919.74400000001</v>
          </cell>
          <cell r="AT165">
            <v>1178277.696</v>
          </cell>
          <cell r="AU165">
            <v>8045.9244466818118</v>
          </cell>
          <cell r="AV165">
            <v>628.84597987191205</v>
          </cell>
          <cell r="AW165">
            <v>381.84925333333331</v>
          </cell>
          <cell r="AX165">
            <v>9056.6196798870569</v>
          </cell>
          <cell r="AY165" t="e">
            <v>#REF!</v>
          </cell>
          <cell r="BF165" t="str">
            <v>PCV</v>
          </cell>
          <cell r="BG165" t="str">
            <v>Marcela Alejandra Castro</v>
          </cell>
          <cell r="BH165" t="str">
            <v xml:space="preserve">Brenda Bùcaro </v>
          </cell>
          <cell r="BM165">
            <v>1</v>
          </cell>
          <cell r="BN165">
            <v>1</v>
          </cell>
          <cell r="BO165">
            <v>1333600</v>
          </cell>
          <cell r="BP165">
            <v>0</v>
          </cell>
        </row>
        <row r="166">
          <cell r="B166">
            <v>916</v>
          </cell>
          <cell r="C166" t="str">
            <v>A2</v>
          </cell>
          <cell r="D166">
            <v>34.9</v>
          </cell>
          <cell r="E166">
            <v>1</v>
          </cell>
          <cell r="G166">
            <v>1.49</v>
          </cell>
          <cell r="H166">
            <v>1</v>
          </cell>
          <cell r="L166" t="str">
            <v>IGUAL</v>
          </cell>
          <cell r="M166" t="str">
            <v>S-4_309</v>
          </cell>
          <cell r="N166" t="str">
            <v>S4_309</v>
          </cell>
          <cell r="O166" t="str">
            <v>S4_219</v>
          </cell>
          <cell r="P166" t="str">
            <v>MISMO SÓTANO</v>
          </cell>
          <cell r="Q166">
            <v>13368.75</v>
          </cell>
          <cell r="R166">
            <v>596148.28700000001</v>
          </cell>
          <cell r="S166">
            <v>651590.07769099995</v>
          </cell>
          <cell r="T166">
            <v>596157.36505032028</v>
          </cell>
          <cell r="U166">
            <v>651600</v>
          </cell>
          <cell r="V166">
            <v>35900</v>
          </cell>
          <cell r="W166">
            <v>687500</v>
          </cell>
          <cell r="AA166">
            <v>687500</v>
          </cell>
          <cell r="AC166">
            <v>687500</v>
          </cell>
          <cell r="AF166">
            <v>687500</v>
          </cell>
          <cell r="AH166">
            <v>0</v>
          </cell>
          <cell r="AI166">
            <v>687500</v>
          </cell>
          <cell r="AN166">
            <v>687500</v>
          </cell>
          <cell r="AO166">
            <v>687500</v>
          </cell>
          <cell r="AP166">
            <v>687500</v>
          </cell>
          <cell r="AQ166">
            <v>68750</v>
          </cell>
          <cell r="AR166">
            <v>10000</v>
          </cell>
          <cell r="AS166">
            <v>58750</v>
          </cell>
          <cell r="AT166">
            <v>618750</v>
          </cell>
          <cell r="AU166">
            <v>4225.1633619859094</v>
          </cell>
          <cell r="AV166">
            <v>330.22644098810611</v>
          </cell>
          <cell r="AW166">
            <v>200.52083333333334</v>
          </cell>
          <cell r="AX166">
            <v>4755.9106363073488</v>
          </cell>
          <cell r="AY166" t="e">
            <v>#REF!</v>
          </cell>
          <cell r="BF166" t="str">
            <v xml:space="preserve">PCV </v>
          </cell>
          <cell r="BG166" t="str">
            <v>Jose Fernando Cordòn</v>
          </cell>
          <cell r="BH166" t="str">
            <v xml:space="preserve">Brenda Bùcaro </v>
          </cell>
          <cell r="BK166">
            <v>1</v>
          </cell>
          <cell r="BO166">
            <v>687500</v>
          </cell>
          <cell r="BP166">
            <v>0</v>
          </cell>
        </row>
        <row r="167">
          <cell r="B167">
            <v>917</v>
          </cell>
          <cell r="C167" t="str">
            <v>A6</v>
          </cell>
          <cell r="D167">
            <v>35.69</v>
          </cell>
          <cell r="E167">
            <v>1</v>
          </cell>
          <cell r="G167">
            <v>1.49</v>
          </cell>
          <cell r="H167">
            <v>1</v>
          </cell>
          <cell r="L167" t="str">
            <v>IGUAL</v>
          </cell>
          <cell r="M167" t="str">
            <v>S-4_269</v>
          </cell>
          <cell r="N167" t="str">
            <v>S4_269</v>
          </cell>
          <cell r="O167" t="str">
            <v>S4_197</v>
          </cell>
          <cell r="P167" t="str">
            <v>MISMO SÓTANO</v>
          </cell>
          <cell r="Q167">
            <v>13368.75</v>
          </cell>
          <cell r="R167">
            <v>606709.59950000001</v>
          </cell>
          <cell r="S167">
            <v>663133.59225350001</v>
          </cell>
          <cell r="T167">
            <v>606770.35681610252</v>
          </cell>
          <cell r="U167">
            <v>663200</v>
          </cell>
          <cell r="V167">
            <v>36500</v>
          </cell>
          <cell r="W167">
            <v>699700</v>
          </cell>
          <cell r="AA167">
            <v>699700</v>
          </cell>
          <cell r="AC167">
            <v>699700</v>
          </cell>
          <cell r="AF167">
            <v>699700</v>
          </cell>
          <cell r="AH167">
            <v>0</v>
          </cell>
          <cell r="AI167">
            <v>699700</v>
          </cell>
          <cell r="AN167">
            <v>699700</v>
          </cell>
          <cell r="AO167">
            <v>699700</v>
          </cell>
          <cell r="AP167">
            <v>699700</v>
          </cell>
          <cell r="AQ167">
            <v>69970</v>
          </cell>
          <cell r="AR167">
            <v>10000</v>
          </cell>
          <cell r="AS167">
            <v>59970</v>
          </cell>
          <cell r="AT167">
            <v>629730</v>
          </cell>
          <cell r="AU167">
            <v>4300.1408063731496</v>
          </cell>
          <cell r="AV167">
            <v>336.08645928636776</v>
          </cell>
          <cell r="AW167">
            <v>204.07916666666668</v>
          </cell>
          <cell r="AX167">
            <v>4840.3064323261842</v>
          </cell>
          <cell r="AY167" t="e">
            <v>#REF!</v>
          </cell>
          <cell r="BF167" t="str">
            <v xml:space="preserve">PCV </v>
          </cell>
          <cell r="BG167" t="str">
            <v>Jessica Ramirez</v>
          </cell>
          <cell r="BH167" t="str">
            <v xml:space="preserve">Brenda Bùcaro </v>
          </cell>
          <cell r="BL167">
            <v>1</v>
          </cell>
          <cell r="BN167">
            <v>1</v>
          </cell>
          <cell r="BO167">
            <v>699700</v>
          </cell>
          <cell r="BP167">
            <v>0</v>
          </cell>
        </row>
        <row r="168">
          <cell r="B168">
            <v>918</v>
          </cell>
          <cell r="C168" t="str">
            <v>A3</v>
          </cell>
          <cell r="D168">
            <v>35.94</v>
          </cell>
          <cell r="E168">
            <v>1</v>
          </cell>
          <cell r="G168">
            <v>1.49</v>
          </cell>
          <cell r="H168">
            <v>1</v>
          </cell>
          <cell r="L168" t="str">
            <v>IGUAL</v>
          </cell>
          <cell r="M168" t="str">
            <v>S-4_232</v>
          </cell>
          <cell r="N168" t="str">
            <v>S4_232</v>
          </cell>
          <cell r="O168" t="str">
            <v>S4_160</v>
          </cell>
          <cell r="P168" t="str">
            <v>MISMO SÓTANO</v>
          </cell>
          <cell r="Q168">
            <v>13368.75</v>
          </cell>
          <cell r="R168">
            <v>610051.78700000001</v>
          </cell>
          <cell r="S168">
            <v>666786.60319099994</v>
          </cell>
          <cell r="T168">
            <v>610064.04391582799</v>
          </cell>
          <cell r="U168">
            <v>666800</v>
          </cell>
          <cell r="V168">
            <v>36700</v>
          </cell>
          <cell r="W168">
            <v>703500</v>
          </cell>
          <cell r="AA168">
            <v>703500</v>
          </cell>
          <cell r="AC168">
            <v>703500</v>
          </cell>
          <cell r="AF168">
            <v>703500</v>
          </cell>
          <cell r="AH168">
            <v>0</v>
          </cell>
          <cell r="AI168">
            <v>703500</v>
          </cell>
          <cell r="AN168">
            <v>703500</v>
          </cell>
          <cell r="AO168">
            <v>703500</v>
          </cell>
          <cell r="AP168">
            <v>703500</v>
          </cell>
          <cell r="AQ168">
            <v>70350</v>
          </cell>
          <cell r="AR168">
            <v>10000</v>
          </cell>
          <cell r="AS168">
            <v>60350</v>
          </cell>
          <cell r="AT168">
            <v>633150</v>
          </cell>
          <cell r="AU168">
            <v>4323.4944365921265</v>
          </cell>
          <cell r="AV168">
            <v>337.91171088746563</v>
          </cell>
          <cell r="AW168">
            <v>205.1875</v>
          </cell>
          <cell r="AX168">
            <v>4866.5936474795917</v>
          </cell>
          <cell r="AY168" t="e">
            <v>#REF!</v>
          </cell>
          <cell r="BF168" t="str">
            <v>PCV</v>
          </cell>
          <cell r="BG168" t="str">
            <v xml:space="preserve">Astrid de León </v>
          </cell>
          <cell r="BH168" t="str">
            <v>Antonio Rada</v>
          </cell>
          <cell r="BL168">
            <v>1</v>
          </cell>
          <cell r="BM168">
            <v>1</v>
          </cell>
          <cell r="BN168">
            <v>1</v>
          </cell>
          <cell r="BO168">
            <v>703500</v>
          </cell>
          <cell r="BP168">
            <v>0</v>
          </cell>
        </row>
        <row r="169">
          <cell r="B169">
            <v>919</v>
          </cell>
          <cell r="C169" t="str">
            <v>C3</v>
          </cell>
          <cell r="D169">
            <v>54.27</v>
          </cell>
          <cell r="E169">
            <v>2</v>
          </cell>
          <cell r="G169">
            <v>1.26</v>
          </cell>
          <cell r="H169">
            <v>1</v>
          </cell>
          <cell r="L169" t="str">
            <v>IGUAL</v>
          </cell>
          <cell r="M169" t="str">
            <v>S-2_79</v>
          </cell>
          <cell r="N169" t="str">
            <v>S2_79</v>
          </cell>
          <cell r="O169" t="str">
            <v>S2_56</v>
          </cell>
          <cell r="P169" t="str">
            <v>MISMO SÓTANO</v>
          </cell>
          <cell r="Q169">
            <v>13175</v>
          </cell>
          <cell r="R169">
            <v>843107.53799999994</v>
          </cell>
          <cell r="S169">
            <v>921516.5390339999</v>
          </cell>
          <cell r="T169">
            <v>843183.89752973465</v>
          </cell>
          <cell r="U169">
            <v>921600</v>
          </cell>
          <cell r="W169">
            <v>921600</v>
          </cell>
          <cell r="AA169">
            <v>921600</v>
          </cell>
          <cell r="AC169">
            <v>921600</v>
          </cell>
          <cell r="AF169">
            <v>921600</v>
          </cell>
          <cell r="AH169">
            <v>0</v>
          </cell>
          <cell r="AI169">
            <v>921600</v>
          </cell>
          <cell r="AN169">
            <v>921600</v>
          </cell>
          <cell r="AO169">
            <v>921600</v>
          </cell>
          <cell r="AP169">
            <v>921600</v>
          </cell>
          <cell r="AQ169">
            <v>92160</v>
          </cell>
          <cell r="AR169">
            <v>10000</v>
          </cell>
          <cell r="AS169">
            <v>82160</v>
          </cell>
          <cell r="AT169">
            <v>829440</v>
          </cell>
          <cell r="AU169">
            <v>5663.869897318129</v>
          </cell>
          <cell r="AV169">
            <v>442.67154620311061</v>
          </cell>
          <cell r="AW169">
            <v>268.8</v>
          </cell>
          <cell r="AX169">
            <v>6375.3414435212399</v>
          </cell>
          <cell r="AY169" t="e">
            <v>#REF!</v>
          </cell>
          <cell r="BF169" t="str">
            <v>PCV</v>
          </cell>
          <cell r="BG169" t="str">
            <v>Ana Lucrecia Rangel</v>
          </cell>
          <cell r="BH169" t="str">
            <v>Brenda Búcaro</v>
          </cell>
          <cell r="BL169">
            <v>1</v>
          </cell>
          <cell r="BN169">
            <v>1</v>
          </cell>
          <cell r="BO169">
            <v>921600</v>
          </cell>
          <cell r="BP169">
            <v>0</v>
          </cell>
        </row>
        <row r="170">
          <cell r="B170">
            <v>920</v>
          </cell>
          <cell r="C170" t="str">
            <v>C2</v>
          </cell>
          <cell r="D170">
            <v>54.73</v>
          </cell>
          <cell r="E170">
            <v>2</v>
          </cell>
          <cell r="G170">
            <v>1.38</v>
          </cell>
          <cell r="H170">
            <v>1</v>
          </cell>
          <cell r="L170" t="str">
            <v>IGUAL</v>
          </cell>
          <cell r="M170" t="str">
            <v>S-2_80</v>
          </cell>
          <cell r="N170" t="str">
            <v>S2_80</v>
          </cell>
          <cell r="O170" t="str">
            <v>S2_57</v>
          </cell>
          <cell r="P170" t="str">
            <v>MISMO SÓTANO</v>
          </cell>
          <cell r="Q170">
            <v>13175</v>
          </cell>
          <cell r="R170">
            <v>849939.49399999995</v>
          </cell>
          <cell r="S170">
            <v>928983.86694199988</v>
          </cell>
          <cell r="T170">
            <v>849954.25434583717</v>
          </cell>
          <cell r="U170">
            <v>929000</v>
          </cell>
          <cell r="W170">
            <v>929000</v>
          </cell>
          <cell r="AA170">
            <v>929000</v>
          </cell>
          <cell r="AC170">
            <v>929000</v>
          </cell>
          <cell r="AF170">
            <v>929000</v>
          </cell>
          <cell r="AI170">
            <v>929000</v>
          </cell>
          <cell r="AN170">
            <v>929000</v>
          </cell>
          <cell r="AO170">
            <v>929000</v>
          </cell>
          <cell r="AP170">
            <v>929000</v>
          </cell>
          <cell r="AQ170">
            <v>92900</v>
          </cell>
          <cell r="AR170">
            <v>10000</v>
          </cell>
          <cell r="AS170">
            <v>82900</v>
          </cell>
          <cell r="AT170">
            <v>836100</v>
          </cell>
          <cell r="AU170">
            <v>5709.3480193235046</v>
          </cell>
          <cell r="AV170">
            <v>446.22598353156445</v>
          </cell>
          <cell r="AW170">
            <v>270.95833333333331</v>
          </cell>
          <cell r="AX170">
            <v>6426.532336188402</v>
          </cell>
          <cell r="AY170" t="e">
            <v>#REF!</v>
          </cell>
          <cell r="BF170" t="str">
            <v>PCV</v>
          </cell>
          <cell r="BG170" t="str">
            <v>Octavio Herrera (Alexander F)</v>
          </cell>
          <cell r="BH170" t="str">
            <v>Junta Directiva</v>
          </cell>
          <cell r="BO170">
            <v>999900</v>
          </cell>
          <cell r="BP170">
            <v>70900</v>
          </cell>
        </row>
        <row r="171">
          <cell r="B171">
            <v>1001</v>
          </cell>
          <cell r="C171" t="str">
            <v>C4</v>
          </cell>
          <cell r="D171">
            <v>54.09</v>
          </cell>
          <cell r="E171">
            <v>2</v>
          </cell>
          <cell r="F171">
            <v>1</v>
          </cell>
          <cell r="G171">
            <v>1.39</v>
          </cell>
          <cell r="I171">
            <v>1</v>
          </cell>
          <cell r="J171">
            <v>86</v>
          </cell>
          <cell r="K171">
            <v>88</v>
          </cell>
          <cell r="L171" t="str">
            <v>DIFERENTE</v>
          </cell>
          <cell r="M171" t="str">
            <v>S-4_292-293</v>
          </cell>
          <cell r="N171" t="str">
            <v>S4_292-293</v>
          </cell>
          <cell r="O171" t="str">
            <v>S4_210</v>
          </cell>
          <cell r="P171" t="str">
            <v>MISMO SÓTANO</v>
          </cell>
          <cell r="Q171">
            <v>13175</v>
          </cell>
          <cell r="R171">
            <v>1003715.782</v>
          </cell>
          <cell r="S171">
            <v>1097061.3497259999</v>
          </cell>
          <cell r="T171">
            <v>1003751.1436413541</v>
          </cell>
          <cell r="U171">
            <v>1097100</v>
          </cell>
          <cell r="W171">
            <v>1097100</v>
          </cell>
          <cell r="AA171">
            <v>1097100</v>
          </cell>
          <cell r="AC171">
            <v>1097100</v>
          </cell>
          <cell r="AF171">
            <v>1097100</v>
          </cell>
          <cell r="AH171">
            <v>0</v>
          </cell>
          <cell r="AI171">
            <v>1097100</v>
          </cell>
          <cell r="AN171">
            <v>1097100</v>
          </cell>
          <cell r="AO171">
            <v>1097100</v>
          </cell>
          <cell r="AP171">
            <v>1097100</v>
          </cell>
          <cell r="AQ171">
            <v>109710</v>
          </cell>
          <cell r="AR171">
            <v>10000</v>
          </cell>
          <cell r="AS171">
            <v>99710</v>
          </cell>
          <cell r="AT171">
            <v>987390</v>
          </cell>
          <cell r="AU171">
            <v>6742.4388719050776</v>
          </cell>
          <cell r="AV171">
            <v>526.96935041171082</v>
          </cell>
          <cell r="AW171">
            <v>319.98750000000001</v>
          </cell>
          <cell r="AX171">
            <v>7589.3957223167881</v>
          </cell>
          <cell r="AY171" t="e">
            <v>#REF!</v>
          </cell>
          <cell r="BF171" t="str">
            <v>PCV</v>
          </cell>
          <cell r="BG171" t="str">
            <v xml:space="preserve">Zonia Beatriz Hernandez </v>
          </cell>
          <cell r="BH171" t="str">
            <v>Antonio Rada</v>
          </cell>
          <cell r="BL171">
            <v>1</v>
          </cell>
          <cell r="BN171">
            <v>1</v>
          </cell>
          <cell r="BO171">
            <v>1097100</v>
          </cell>
          <cell r="BP171">
            <v>0</v>
          </cell>
        </row>
        <row r="172">
          <cell r="B172">
            <v>1002</v>
          </cell>
          <cell r="C172" t="str">
            <v>C1</v>
          </cell>
          <cell r="D172">
            <v>55.09</v>
          </cell>
          <cell r="E172">
            <v>2</v>
          </cell>
          <cell r="F172">
            <v>1</v>
          </cell>
          <cell r="G172">
            <v>1.35</v>
          </cell>
          <cell r="I172">
            <v>1</v>
          </cell>
          <cell r="J172">
            <v>87</v>
          </cell>
          <cell r="K172">
            <v>89</v>
          </cell>
          <cell r="L172" t="str">
            <v>DIFERENTE</v>
          </cell>
          <cell r="M172" t="str">
            <v>S-4_294-295</v>
          </cell>
          <cell r="N172" t="str">
            <v>S4_294-295</v>
          </cell>
          <cell r="O172" t="str">
            <v>S4_211</v>
          </cell>
          <cell r="P172" t="str">
            <v>MISMO SÓTANO</v>
          </cell>
          <cell r="Q172">
            <v>13175</v>
          </cell>
          <cell r="R172">
            <v>1016633.63</v>
          </cell>
          <cell r="S172">
            <v>1111180.5575899999</v>
          </cell>
          <cell r="T172">
            <v>1016651.4181152791</v>
          </cell>
          <cell r="U172">
            <v>1111200</v>
          </cell>
          <cell r="W172">
            <v>1111200</v>
          </cell>
          <cell r="AA172">
            <v>1111200</v>
          </cell>
          <cell r="AC172">
            <v>1111200</v>
          </cell>
          <cell r="AF172">
            <v>1111200</v>
          </cell>
          <cell r="AH172">
            <v>0</v>
          </cell>
          <cell r="AI172">
            <v>1111200</v>
          </cell>
          <cell r="AN172">
            <v>1111200</v>
          </cell>
          <cell r="AO172">
            <v>1111200</v>
          </cell>
          <cell r="AP172">
            <v>1111200</v>
          </cell>
          <cell r="AQ172">
            <v>111120</v>
          </cell>
          <cell r="AR172">
            <v>10000</v>
          </cell>
          <cell r="AS172">
            <v>101120</v>
          </cell>
          <cell r="AT172">
            <v>1000080</v>
          </cell>
          <cell r="AU172">
            <v>6829.0931314018062</v>
          </cell>
          <cell r="AV172">
            <v>533.74199451052141</v>
          </cell>
          <cell r="AW172">
            <v>324.10000000000002</v>
          </cell>
          <cell r="AX172">
            <v>7686.9351259123277</v>
          </cell>
          <cell r="AY172" t="e">
            <v>#REF!</v>
          </cell>
          <cell r="BF172" t="str">
            <v>PCV</v>
          </cell>
          <cell r="BG172" t="str">
            <v>Evelyn Orellana</v>
          </cell>
          <cell r="BH172" t="str">
            <v>Antonio Rada</v>
          </cell>
          <cell r="BL172">
            <v>1</v>
          </cell>
          <cell r="BM172">
            <v>1</v>
          </cell>
          <cell r="BN172">
            <v>1</v>
          </cell>
          <cell r="BO172">
            <v>1111200</v>
          </cell>
          <cell r="BP172">
            <v>0</v>
          </cell>
        </row>
        <row r="173">
          <cell r="B173">
            <v>1003</v>
          </cell>
          <cell r="C173" t="str">
            <v>A8</v>
          </cell>
          <cell r="D173">
            <v>35.94</v>
          </cell>
          <cell r="E173">
            <v>1</v>
          </cell>
          <cell r="G173">
            <v>1.49</v>
          </cell>
          <cell r="H173">
            <v>1</v>
          </cell>
          <cell r="L173" t="str">
            <v>IGUAL</v>
          </cell>
          <cell r="M173" t="str">
            <v>S-4_233</v>
          </cell>
          <cell r="N173" t="str">
            <v>S4_233</v>
          </cell>
          <cell r="O173" t="str">
            <v>S4_161</v>
          </cell>
          <cell r="P173" t="str">
            <v>MISMO SÓTANO</v>
          </cell>
          <cell r="Q173">
            <v>13368.75</v>
          </cell>
          <cell r="R173">
            <v>610051.78700000001</v>
          </cell>
          <cell r="S173">
            <v>666786.60319099994</v>
          </cell>
          <cell r="T173">
            <v>610064.04391582799</v>
          </cell>
          <cell r="U173">
            <v>666800</v>
          </cell>
          <cell r="V173">
            <v>36700</v>
          </cell>
          <cell r="W173">
            <v>703500</v>
          </cell>
          <cell r="AA173">
            <v>703500</v>
          </cell>
          <cell r="AC173">
            <v>703500</v>
          </cell>
          <cell r="AF173">
            <v>703500</v>
          </cell>
          <cell r="AH173">
            <v>0</v>
          </cell>
          <cell r="AI173">
            <v>703500</v>
          </cell>
          <cell r="AN173">
            <v>703500</v>
          </cell>
          <cell r="AO173">
            <v>703500</v>
          </cell>
          <cell r="AP173">
            <v>703500</v>
          </cell>
          <cell r="AQ173">
            <v>70350</v>
          </cell>
          <cell r="AR173">
            <v>10000</v>
          </cell>
          <cell r="AS173">
            <v>60350</v>
          </cell>
          <cell r="AT173">
            <v>633150</v>
          </cell>
          <cell r="AU173">
            <v>4323.4944365921265</v>
          </cell>
          <cell r="AV173">
            <v>337.91171088746563</v>
          </cell>
          <cell r="AW173">
            <v>205.1875</v>
          </cell>
          <cell r="AX173">
            <v>4866.5936474795917</v>
          </cell>
          <cell r="AY173" t="e">
            <v>#REF!</v>
          </cell>
          <cell r="BF173" t="str">
            <v>PCV</v>
          </cell>
          <cell r="BG173" t="str">
            <v>Eduar Colindres</v>
          </cell>
          <cell r="BH173" t="str">
            <v>Antonio Rada</v>
          </cell>
          <cell r="BL173">
            <v>1</v>
          </cell>
          <cell r="BN173">
            <v>1</v>
          </cell>
          <cell r="BO173">
            <v>703500</v>
          </cell>
          <cell r="BP173">
            <v>0</v>
          </cell>
        </row>
        <row r="174">
          <cell r="B174">
            <v>1004</v>
          </cell>
          <cell r="C174" t="str">
            <v>A1</v>
          </cell>
          <cell r="D174">
            <v>35.85</v>
          </cell>
          <cell r="E174">
            <v>1</v>
          </cell>
          <cell r="G174">
            <v>1.58</v>
          </cell>
          <cell r="H174">
            <v>1</v>
          </cell>
          <cell r="L174" t="str">
            <v>IGUAL</v>
          </cell>
          <cell r="M174" t="str">
            <v>S-4_1004</v>
          </cell>
          <cell r="N174" t="str">
            <v>S4_1004</v>
          </cell>
          <cell r="O174" t="str">
            <v>S4_162</v>
          </cell>
          <cell r="P174" t="str">
            <v>MISMO SÓTANO</v>
          </cell>
          <cell r="Q174">
            <v>13368.75</v>
          </cell>
          <cell r="R174">
            <v>609427.19149999996</v>
          </cell>
          <cell r="S174">
            <v>666103.92030949995</v>
          </cell>
          <cell r="T174">
            <v>609515.09606587375</v>
          </cell>
          <cell r="U174">
            <v>666200</v>
          </cell>
          <cell r="V174">
            <v>36700</v>
          </cell>
          <cell r="W174">
            <v>702900</v>
          </cell>
          <cell r="AA174">
            <v>702900</v>
          </cell>
          <cell r="AC174">
            <v>702900</v>
          </cell>
          <cell r="AF174">
            <v>702900</v>
          </cell>
          <cell r="AH174">
            <v>-6430.9200000000419</v>
          </cell>
          <cell r="AI174">
            <v>696469.08</v>
          </cell>
          <cell r="AN174">
            <v>696469.08</v>
          </cell>
          <cell r="AO174">
            <v>696500</v>
          </cell>
          <cell r="AP174">
            <v>696469.08</v>
          </cell>
          <cell r="AQ174">
            <v>69646.907999999996</v>
          </cell>
          <cell r="AR174">
            <v>10000</v>
          </cell>
          <cell r="AS174">
            <v>59646.907999999996</v>
          </cell>
          <cell r="AT174">
            <v>626822.17200000002</v>
          </cell>
          <cell r="AU174">
            <v>4280.2845666502299</v>
          </cell>
          <cell r="AV174">
            <v>334.53455352241531</v>
          </cell>
          <cell r="AW174">
            <v>203.13681499999998</v>
          </cell>
          <cell r="AX174">
            <v>4817.9559351726448</v>
          </cell>
          <cell r="AY174" t="e">
            <v>#REF!</v>
          </cell>
          <cell r="BF174" t="str">
            <v>PCV</v>
          </cell>
          <cell r="BG174" t="str">
            <v>Juan Jose Silva</v>
          </cell>
          <cell r="BH174" t="str">
            <v>Alexander Franco</v>
          </cell>
          <cell r="BL174">
            <v>1</v>
          </cell>
          <cell r="BN174">
            <v>1</v>
          </cell>
          <cell r="BO174">
            <v>702900</v>
          </cell>
          <cell r="BP174">
            <v>0</v>
          </cell>
        </row>
        <row r="175">
          <cell r="B175">
            <v>1005</v>
          </cell>
          <cell r="C175" t="str">
            <v>B5</v>
          </cell>
          <cell r="D175">
            <v>52.51</v>
          </cell>
          <cell r="E175">
            <v>2</v>
          </cell>
          <cell r="G175">
            <v>1.35</v>
          </cell>
          <cell r="H175">
            <v>1</v>
          </cell>
          <cell r="L175" t="str">
            <v>IGUAL</v>
          </cell>
          <cell r="M175" t="str">
            <v>S-3_164</v>
          </cell>
          <cell r="N175" t="str">
            <v>S3_164</v>
          </cell>
          <cell r="O175" t="str">
            <v>S3_120</v>
          </cell>
          <cell r="P175" t="str">
            <v>MISMO SÓTANO</v>
          </cell>
          <cell r="Q175">
            <v>13175</v>
          </cell>
          <cell r="R175">
            <v>820498.13</v>
          </cell>
          <cell r="S175">
            <v>896804.45608999999</v>
          </cell>
          <cell r="T175">
            <v>820585.54437328456</v>
          </cell>
          <cell r="U175">
            <v>896900</v>
          </cell>
          <cell r="V175">
            <v>44900</v>
          </cell>
          <cell r="W175">
            <v>941800</v>
          </cell>
          <cell r="AA175">
            <v>941800</v>
          </cell>
          <cell r="AC175">
            <v>941800</v>
          </cell>
          <cell r="AF175">
            <v>941800</v>
          </cell>
          <cell r="AH175">
            <v>0</v>
          </cell>
          <cell r="AI175">
            <v>941800</v>
          </cell>
          <cell r="AN175">
            <v>941800</v>
          </cell>
          <cell r="AO175">
            <v>941800</v>
          </cell>
          <cell r="AP175">
            <v>941800</v>
          </cell>
          <cell r="AQ175">
            <v>94180</v>
          </cell>
          <cell r="AR175">
            <v>10000</v>
          </cell>
          <cell r="AS175">
            <v>84180</v>
          </cell>
          <cell r="AT175">
            <v>847620</v>
          </cell>
          <cell r="AU175">
            <v>5788.0128790084782</v>
          </cell>
          <cell r="AV175">
            <v>452.37419945105211</v>
          </cell>
          <cell r="AW175">
            <v>274.69166666666666</v>
          </cell>
          <cell r="AX175">
            <v>6515.0787451261967</v>
          </cell>
          <cell r="AY175" t="e">
            <v>#REF!</v>
          </cell>
          <cell r="BF175" t="str">
            <v>PCV</v>
          </cell>
          <cell r="BG175" t="str">
            <v>Barbara Ixmucane</v>
          </cell>
          <cell r="BH175" t="str">
            <v>Brenda Bucaro</v>
          </cell>
          <cell r="BL175">
            <v>1</v>
          </cell>
          <cell r="BM175">
            <v>1</v>
          </cell>
          <cell r="BN175">
            <v>1</v>
          </cell>
          <cell r="BO175">
            <v>941800</v>
          </cell>
          <cell r="BP175">
            <v>0</v>
          </cell>
        </row>
        <row r="176">
          <cell r="B176">
            <v>1006</v>
          </cell>
          <cell r="C176" t="str">
            <v>B8</v>
          </cell>
          <cell r="D176">
            <v>52.64</v>
          </cell>
          <cell r="E176">
            <v>2</v>
          </cell>
          <cell r="G176">
            <v>1.26</v>
          </cell>
          <cell r="H176">
            <v>1</v>
          </cell>
          <cell r="L176" t="str">
            <v>IGUAL</v>
          </cell>
          <cell r="M176" t="str">
            <v>S-3_165</v>
          </cell>
          <cell r="N176" t="str">
            <v>S3_165</v>
          </cell>
          <cell r="O176" t="str">
            <v>S3_121</v>
          </cell>
          <cell r="P176" t="str">
            <v>MISMO SÓTANO</v>
          </cell>
          <cell r="Q176">
            <v>13175</v>
          </cell>
          <cell r="R176">
            <v>821632.28799999994</v>
          </cell>
          <cell r="S176">
            <v>898044.09078399988</v>
          </cell>
          <cell r="T176">
            <v>821683.44007319305</v>
          </cell>
          <cell r="U176">
            <v>898100</v>
          </cell>
          <cell r="V176">
            <v>45000</v>
          </cell>
          <cell r="W176">
            <v>943100</v>
          </cell>
          <cell r="AA176">
            <v>943100</v>
          </cell>
          <cell r="AC176">
            <v>943100</v>
          </cell>
          <cell r="AF176">
            <v>943100</v>
          </cell>
          <cell r="AH176">
            <v>0</v>
          </cell>
          <cell r="AI176">
            <v>943100</v>
          </cell>
          <cell r="AN176">
            <v>943100</v>
          </cell>
          <cell r="AO176">
            <v>943100</v>
          </cell>
          <cell r="AP176">
            <v>943100</v>
          </cell>
          <cell r="AQ176">
            <v>94310</v>
          </cell>
          <cell r="AR176">
            <v>10000</v>
          </cell>
          <cell r="AS176">
            <v>84310</v>
          </cell>
          <cell r="AT176">
            <v>848790</v>
          </cell>
          <cell r="AU176">
            <v>5796.0022788202332</v>
          </cell>
          <cell r="AV176">
            <v>452.9986276303751</v>
          </cell>
          <cell r="AW176">
            <v>275.07083333333333</v>
          </cell>
          <cell r="AX176">
            <v>6524.0717397839417</v>
          </cell>
          <cell r="AY176" t="e">
            <v>#REF!</v>
          </cell>
          <cell r="BF176" t="str">
            <v>PCV</v>
          </cell>
          <cell r="BG176" t="str">
            <v>Diana Marisol Donis Cu</v>
          </cell>
          <cell r="BH176" t="str">
            <v>Antonio Rada</v>
          </cell>
          <cell r="BK176">
            <v>1</v>
          </cell>
          <cell r="BN176">
            <v>1</v>
          </cell>
          <cell r="BO176">
            <v>943100</v>
          </cell>
          <cell r="BP176">
            <v>0</v>
          </cell>
        </row>
        <row r="177">
          <cell r="B177">
            <v>1007</v>
          </cell>
          <cell r="C177" t="str">
            <v>B4</v>
          </cell>
          <cell r="D177">
            <v>49.77</v>
          </cell>
          <cell r="E177">
            <v>2</v>
          </cell>
          <cell r="G177">
            <v>1.49</v>
          </cell>
          <cell r="H177">
            <v>1</v>
          </cell>
          <cell r="L177" t="str">
            <v>IGUAL</v>
          </cell>
          <cell r="M177" t="str">
            <v>S-3_166</v>
          </cell>
          <cell r="N177" t="str">
            <v>S3_166</v>
          </cell>
          <cell r="O177" t="str">
            <v>S3_122</v>
          </cell>
          <cell r="P177" t="str">
            <v>MISMO SÓTANO</v>
          </cell>
          <cell r="Q177">
            <v>13175</v>
          </cell>
          <cell r="R177">
            <v>785298.66200000001</v>
          </cell>
          <cell r="S177">
            <v>858331.43756600004</v>
          </cell>
          <cell r="T177">
            <v>785361.39066788659</v>
          </cell>
          <cell r="U177">
            <v>858400</v>
          </cell>
          <cell r="W177">
            <v>858400</v>
          </cell>
          <cell r="AA177">
            <v>858400</v>
          </cell>
          <cell r="AC177">
            <v>858400</v>
          </cell>
          <cell r="AF177">
            <v>858400</v>
          </cell>
          <cell r="AH177">
            <v>43000</v>
          </cell>
          <cell r="AI177">
            <v>901400</v>
          </cell>
          <cell r="AN177">
            <v>901400</v>
          </cell>
          <cell r="AO177">
            <v>901400</v>
          </cell>
          <cell r="AP177">
            <v>901400</v>
          </cell>
          <cell r="AQ177">
            <v>90140</v>
          </cell>
          <cell r="AR177">
            <v>10000</v>
          </cell>
          <cell r="AS177">
            <v>80140</v>
          </cell>
          <cell r="AT177">
            <v>811260</v>
          </cell>
          <cell r="AU177">
            <v>5539.7269156277798</v>
          </cell>
          <cell r="AV177">
            <v>432.96889295516917</v>
          </cell>
          <cell r="AW177">
            <v>262.90833333333336</v>
          </cell>
          <cell r="AX177">
            <v>6235.604141916283</v>
          </cell>
          <cell r="AY177" t="e">
            <v>#REF!</v>
          </cell>
          <cell r="BF177" t="str">
            <v>PCV</v>
          </cell>
          <cell r="BG177" t="str">
            <v>Marcela Alejandra Castro Marcia</v>
          </cell>
          <cell r="BH177" t="str">
            <v>Brenda Búcaro</v>
          </cell>
          <cell r="BL177">
            <v>1</v>
          </cell>
          <cell r="BN177">
            <v>1</v>
          </cell>
          <cell r="BO177">
            <v>858400</v>
          </cell>
          <cell r="BP177">
            <v>0</v>
          </cell>
        </row>
        <row r="178">
          <cell r="B178">
            <v>1008</v>
          </cell>
          <cell r="C178" t="str">
            <v>B3</v>
          </cell>
          <cell r="D178">
            <v>48.96</v>
          </cell>
          <cell r="E178">
            <v>2</v>
          </cell>
          <cell r="G178">
            <v>1.26</v>
          </cell>
          <cell r="H178">
            <v>1</v>
          </cell>
          <cell r="L178" t="str">
            <v>IGUAL</v>
          </cell>
          <cell r="M178" t="str">
            <v>S-3_167</v>
          </cell>
          <cell r="N178" t="str">
            <v>S3_167</v>
          </cell>
          <cell r="O178" t="str">
            <v>S3_123</v>
          </cell>
          <cell r="P178" t="str">
            <v>MISMO SÓTANO</v>
          </cell>
          <cell r="Q178">
            <v>13175</v>
          </cell>
          <cell r="R178">
            <v>773148.28799999994</v>
          </cell>
          <cell r="S178">
            <v>845051.0787839999</v>
          </cell>
          <cell r="T178">
            <v>773193.04666056728</v>
          </cell>
          <cell r="U178">
            <v>845100</v>
          </cell>
          <cell r="V178">
            <v>42300</v>
          </cell>
          <cell r="W178">
            <v>887400</v>
          </cell>
          <cell r="AA178">
            <v>887400</v>
          </cell>
          <cell r="AC178">
            <v>887400</v>
          </cell>
          <cell r="AF178">
            <v>887400</v>
          </cell>
          <cell r="AH178">
            <v>-42300</v>
          </cell>
          <cell r="AI178">
            <v>845100</v>
          </cell>
          <cell r="AN178">
            <v>845100</v>
          </cell>
          <cell r="AO178">
            <v>845100</v>
          </cell>
          <cell r="AP178">
            <v>887400</v>
          </cell>
          <cell r="AQ178">
            <v>84510</v>
          </cell>
          <cell r="AR178">
            <v>10000</v>
          </cell>
          <cell r="AS178">
            <v>74510</v>
          </cell>
          <cell r="AT178">
            <v>760590</v>
          </cell>
          <cell r="AU178">
            <v>5193.7244468571516</v>
          </cell>
          <cell r="AV178">
            <v>405.92634949679785</v>
          </cell>
          <cell r="AW178">
            <v>246.48749999999998</v>
          </cell>
          <cell r="AX178">
            <v>5846.13829635395</v>
          </cell>
          <cell r="AY178" t="e">
            <v>#REF!</v>
          </cell>
          <cell r="BF178" t="str">
            <v xml:space="preserve">Congelado Junta Directiva </v>
          </cell>
          <cell r="BG178" t="str">
            <v>Jorge Arimany</v>
          </cell>
          <cell r="BH178" t="str">
            <v>Junta Directiva</v>
          </cell>
          <cell r="BI178">
            <v>45401</v>
          </cell>
          <cell r="BK178">
            <v>1</v>
          </cell>
          <cell r="BN178">
            <v>1</v>
          </cell>
          <cell r="BO178">
            <v>887400</v>
          </cell>
          <cell r="BP178">
            <v>0</v>
          </cell>
        </row>
        <row r="179">
          <cell r="B179">
            <v>1009</v>
          </cell>
          <cell r="C179" t="str">
            <v>E8</v>
          </cell>
          <cell r="D179">
            <v>74.260000000000005</v>
          </cell>
          <cell r="E179">
            <v>3</v>
          </cell>
          <cell r="F179">
            <v>1</v>
          </cell>
          <cell r="G179">
            <v>1.26</v>
          </cell>
          <cell r="I179">
            <v>1</v>
          </cell>
          <cell r="J179">
            <v>54</v>
          </cell>
          <cell r="K179">
            <v>13</v>
          </cell>
          <cell r="L179" t="str">
            <v>DIFERENTE</v>
          </cell>
          <cell r="M179" t="str">
            <v>S-1_36-37</v>
          </cell>
          <cell r="N179" t="str">
            <v>S1_36-37</v>
          </cell>
          <cell r="O179" t="str">
            <v>S1_17</v>
          </cell>
          <cell r="P179" t="str">
            <v>MISMO SÓTANO</v>
          </cell>
          <cell r="Q179">
            <v>12710</v>
          </cell>
          <cell r="R179">
            <v>1234088.888</v>
          </cell>
          <cell r="S179">
            <v>1348859.1545840001</v>
          </cell>
          <cell r="T179">
            <v>1234126.2580054896</v>
          </cell>
          <cell r="U179">
            <v>1348900</v>
          </cell>
          <cell r="V179">
            <v>33800</v>
          </cell>
          <cell r="W179">
            <v>1382700</v>
          </cell>
          <cell r="X179">
            <v>69135</v>
          </cell>
          <cell r="AA179">
            <v>1451835</v>
          </cell>
          <cell r="AC179">
            <v>1348900</v>
          </cell>
          <cell r="AD179">
            <v>53956</v>
          </cell>
          <cell r="AF179">
            <v>1402856</v>
          </cell>
          <cell r="AG179">
            <v>112228.48</v>
          </cell>
          <cell r="AH179">
            <v>-17530.953672849999</v>
          </cell>
          <cell r="AI179">
            <v>1497553.5263271499</v>
          </cell>
          <cell r="AN179">
            <v>1497553.5263271499</v>
          </cell>
          <cell r="AO179">
            <v>1497600</v>
          </cell>
          <cell r="AP179">
            <v>1515084.48</v>
          </cell>
          <cell r="AQ179">
            <v>149755.35263271499</v>
          </cell>
          <cell r="AR179">
            <v>10000</v>
          </cell>
          <cell r="AS179">
            <v>139755.35263271499</v>
          </cell>
          <cell r="AT179">
            <v>1347798.173694435</v>
          </cell>
          <cell r="AU179">
            <v>9203.5029702549455</v>
          </cell>
          <cell r="AV179">
            <v>719.31893991011304</v>
          </cell>
          <cell r="AW179">
            <v>436.78644517875205</v>
          </cell>
          <cell r="AX179">
            <v>10359.608355343811</v>
          </cell>
          <cell r="AY179" t="e">
            <v>#REF!</v>
          </cell>
          <cell r="BF179" t="str">
            <v>PCV</v>
          </cell>
          <cell r="BG179" t="str">
            <v>Augusto Alejandro Salazar Alencio</v>
          </cell>
          <cell r="BH179" t="str">
            <v>Diana Alvarez</v>
          </cell>
          <cell r="BI179">
            <v>45602</v>
          </cell>
          <cell r="BL179" t="str">
            <v>FB Lead</v>
          </cell>
          <cell r="BN179">
            <v>1</v>
          </cell>
          <cell r="BO179">
            <v>1348900</v>
          </cell>
          <cell r="BP179">
            <v>-102935</v>
          </cell>
        </row>
        <row r="180">
          <cell r="B180">
            <v>1010</v>
          </cell>
          <cell r="C180" t="str">
            <v>A10</v>
          </cell>
          <cell r="D180">
            <v>44.7</v>
          </cell>
          <cell r="E180">
            <v>1</v>
          </cell>
          <cell r="G180">
            <v>2.88</v>
          </cell>
          <cell r="H180">
            <v>1</v>
          </cell>
          <cell r="L180" t="str">
            <v>IGUAL</v>
          </cell>
          <cell r="M180" t="str">
            <v>S-3_168</v>
          </cell>
          <cell r="N180" t="str">
            <v>S3_168</v>
          </cell>
          <cell r="O180" t="str">
            <v>S3_124</v>
          </cell>
          <cell r="P180" t="str">
            <v>MISMO SÓTANO</v>
          </cell>
          <cell r="Q180">
            <v>13368.75</v>
          </cell>
          <cell r="R180">
            <v>736098.06900000002</v>
          </cell>
          <cell r="S180">
            <v>804555.18941700005</v>
          </cell>
          <cell r="T180">
            <v>736139.06678865512</v>
          </cell>
          <cell r="U180">
            <v>804600</v>
          </cell>
          <cell r="V180">
            <v>44300</v>
          </cell>
          <cell r="W180">
            <v>848900</v>
          </cell>
          <cell r="X180">
            <v>29711.500000000004</v>
          </cell>
          <cell r="AA180">
            <v>878611.5</v>
          </cell>
          <cell r="AC180">
            <v>878611.5</v>
          </cell>
          <cell r="AF180">
            <v>878611.5</v>
          </cell>
          <cell r="AH180">
            <v>-29711.5</v>
          </cell>
          <cell r="AI180">
            <v>848900</v>
          </cell>
          <cell r="AN180">
            <v>848900</v>
          </cell>
          <cell r="AO180">
            <v>848900</v>
          </cell>
          <cell r="AP180">
            <v>848900</v>
          </cell>
          <cell r="AQ180">
            <v>84890</v>
          </cell>
          <cell r="AR180">
            <v>10000</v>
          </cell>
          <cell r="AS180">
            <v>74890</v>
          </cell>
          <cell r="AT180">
            <v>764010</v>
          </cell>
          <cell r="AU180">
            <v>5217.0780770761276</v>
          </cell>
          <cell r="AV180">
            <v>407.75160109789567</v>
          </cell>
          <cell r="AW180">
            <v>247.59583333333333</v>
          </cell>
          <cell r="AX180">
            <v>5872.4255115073565</v>
          </cell>
          <cell r="AY180" t="e">
            <v>#REF!</v>
          </cell>
          <cell r="BF180" t="str">
            <v>PCV</v>
          </cell>
          <cell r="BG180" t="str">
            <v>Allan Donaldo Lapop Cárdenas</v>
          </cell>
          <cell r="BH180" t="str">
            <v>Antonio Rada</v>
          </cell>
          <cell r="BM180">
            <v>1</v>
          </cell>
          <cell r="BN180">
            <v>1</v>
          </cell>
          <cell r="BO180">
            <v>848900</v>
          </cell>
          <cell r="BP180">
            <v>-29711.5</v>
          </cell>
        </row>
        <row r="181">
          <cell r="B181">
            <v>1011</v>
          </cell>
          <cell r="C181" t="str">
            <v>C10</v>
          </cell>
          <cell r="D181">
            <v>58.06</v>
          </cell>
          <cell r="E181">
            <v>2</v>
          </cell>
          <cell r="G181">
            <v>1.49</v>
          </cell>
          <cell r="H181">
            <v>1</v>
          </cell>
          <cell r="J181">
            <v>131</v>
          </cell>
          <cell r="K181">
            <v>131</v>
          </cell>
          <cell r="L181" t="str">
            <v>IGUAL</v>
          </cell>
          <cell r="M181" t="str">
            <v>S-2_81</v>
          </cell>
          <cell r="N181" t="str">
            <v>S2_81</v>
          </cell>
          <cell r="O181" t="str">
            <v>S5_294</v>
          </cell>
          <cell r="P181" t="str">
            <v>DIFERENTE SÓTANO</v>
          </cell>
          <cell r="Q181">
            <v>13175</v>
          </cell>
          <cell r="R181">
            <v>1042719.412</v>
          </cell>
          <cell r="S181">
            <v>1139692.3173159999</v>
          </cell>
          <cell r="T181">
            <v>1042726.4409881062</v>
          </cell>
          <cell r="U181">
            <v>1139700</v>
          </cell>
          <cell r="W181">
            <v>1139700</v>
          </cell>
          <cell r="AA181">
            <v>1139700</v>
          </cell>
          <cell r="AC181">
            <v>1139700</v>
          </cell>
          <cell r="AF181">
            <v>1139700</v>
          </cell>
          <cell r="AH181">
            <v>-8175</v>
          </cell>
          <cell r="AI181">
            <v>1131525</v>
          </cell>
          <cell r="AN181">
            <v>1131525</v>
          </cell>
          <cell r="AO181">
            <v>1131600</v>
          </cell>
          <cell r="AP181">
            <v>1131525</v>
          </cell>
          <cell r="AQ181">
            <v>113152.5</v>
          </cell>
          <cell r="AR181">
            <v>10000</v>
          </cell>
          <cell r="AS181">
            <v>103152.5</v>
          </cell>
          <cell r="AT181">
            <v>1018372.5</v>
          </cell>
          <cell r="AU181">
            <v>6954.0043246125169</v>
          </cell>
          <cell r="AV181">
            <v>543.50468892955166</v>
          </cell>
          <cell r="AW181">
            <v>330.02812499999999</v>
          </cell>
          <cell r="AX181">
            <v>7827.5371385420685</v>
          </cell>
          <cell r="AY181" t="e">
            <v>#REF!</v>
          </cell>
          <cell r="BF181" t="str">
            <v>PCV</v>
          </cell>
          <cell r="BG181" t="str">
            <v>Sebastián Gutierrez Ruiz</v>
          </cell>
          <cell r="BH181" t="str">
            <v>Brenda Búcaro</v>
          </cell>
          <cell r="BJ181">
            <v>1</v>
          </cell>
          <cell r="BM181">
            <v>1</v>
          </cell>
          <cell r="BN181">
            <v>1</v>
          </cell>
          <cell r="BO181">
            <v>1129300</v>
          </cell>
          <cell r="BP181">
            <v>-10400</v>
          </cell>
        </row>
        <row r="182">
          <cell r="B182">
            <v>1012</v>
          </cell>
          <cell r="C182" t="str">
            <v>C7</v>
          </cell>
          <cell r="D182">
            <v>57.85</v>
          </cell>
          <cell r="E182">
            <v>2</v>
          </cell>
          <cell r="G182">
            <v>1.35</v>
          </cell>
          <cell r="H182">
            <v>1</v>
          </cell>
          <cell r="L182" t="str">
            <v>IGUAL</v>
          </cell>
          <cell r="M182" t="str">
            <v>S-2_82</v>
          </cell>
          <cell r="N182" t="str">
            <v>S2_82</v>
          </cell>
          <cell r="O182" t="str">
            <v>S2_59</v>
          </cell>
          <cell r="P182" t="str">
            <v>MISMO SÓTANO</v>
          </cell>
          <cell r="Q182">
            <v>13175</v>
          </cell>
          <cell r="R182">
            <v>890852.63</v>
          </cell>
          <cell r="S182">
            <v>973701.92458999995</v>
          </cell>
          <cell r="T182">
            <v>890942.36047575483</v>
          </cell>
          <cell r="U182">
            <v>973800</v>
          </cell>
          <cell r="W182">
            <v>973800</v>
          </cell>
          <cell r="AA182">
            <v>973800</v>
          </cell>
          <cell r="AC182">
            <v>973800</v>
          </cell>
          <cell r="AF182">
            <v>973800</v>
          </cell>
          <cell r="AI182">
            <v>973800</v>
          </cell>
          <cell r="AN182">
            <v>973800</v>
          </cell>
          <cell r="AO182">
            <v>973800</v>
          </cell>
          <cell r="AP182">
            <v>973800</v>
          </cell>
          <cell r="AQ182">
            <v>97380</v>
          </cell>
          <cell r="AR182">
            <v>10000</v>
          </cell>
          <cell r="AS182">
            <v>87380</v>
          </cell>
          <cell r="AT182">
            <v>876420</v>
          </cell>
          <cell r="AU182">
            <v>5984.6750282209132</v>
          </cell>
          <cell r="AV182">
            <v>467.74473924977127</v>
          </cell>
          <cell r="AW182">
            <v>284.02500000000003</v>
          </cell>
          <cell r="AX182">
            <v>6736.4447674706844</v>
          </cell>
          <cell r="AY182" t="e">
            <v>#REF!</v>
          </cell>
          <cell r="BF182" t="str">
            <v>PCV</v>
          </cell>
          <cell r="BG182" t="str">
            <v>Octavio Herrera (Alexander F)</v>
          </cell>
          <cell r="BH182" t="str">
            <v>Junta Directiva</v>
          </cell>
          <cell r="BO182">
            <v>1048100</v>
          </cell>
          <cell r="BP182">
            <v>74300</v>
          </cell>
        </row>
        <row r="183">
          <cell r="B183">
            <v>1013</v>
          </cell>
          <cell r="C183" t="str">
            <v>B6</v>
          </cell>
          <cell r="D183">
            <v>50.03</v>
          </cell>
          <cell r="E183">
            <v>2</v>
          </cell>
          <cell r="G183">
            <v>1.26</v>
          </cell>
          <cell r="H183">
            <v>1</v>
          </cell>
          <cell r="L183" t="str">
            <v>IGUAL</v>
          </cell>
          <cell r="M183" t="str">
            <v>S-3_169</v>
          </cell>
          <cell r="N183" t="str">
            <v>S3_169</v>
          </cell>
          <cell r="O183" t="str">
            <v>S3_125</v>
          </cell>
          <cell r="P183" t="str">
            <v>MISMO SÓTANO</v>
          </cell>
          <cell r="Q183">
            <v>13175</v>
          </cell>
          <cell r="R183">
            <v>787245.53799999994</v>
          </cell>
          <cell r="S183">
            <v>860459.37303399993</v>
          </cell>
          <cell r="T183">
            <v>787282.70814272645</v>
          </cell>
          <cell r="U183">
            <v>860500</v>
          </cell>
          <cell r="V183">
            <v>43100</v>
          </cell>
          <cell r="W183">
            <v>903600</v>
          </cell>
          <cell r="AA183">
            <v>903600</v>
          </cell>
          <cell r="AC183">
            <v>903600</v>
          </cell>
          <cell r="AF183">
            <v>903600</v>
          </cell>
          <cell r="AH183">
            <v>0</v>
          </cell>
          <cell r="AI183">
            <v>903600</v>
          </cell>
          <cell r="AN183">
            <v>903600</v>
          </cell>
          <cell r="AO183">
            <v>903600</v>
          </cell>
          <cell r="AP183">
            <v>903600</v>
          </cell>
          <cell r="AQ183">
            <v>90360</v>
          </cell>
          <cell r="AR183">
            <v>10000</v>
          </cell>
          <cell r="AS183">
            <v>80360</v>
          </cell>
          <cell r="AT183">
            <v>813240</v>
          </cell>
          <cell r="AU183">
            <v>5553.2474383861345</v>
          </cell>
          <cell r="AV183">
            <v>434.02561756633116</v>
          </cell>
          <cell r="AW183">
            <v>263.55</v>
          </cell>
          <cell r="AX183">
            <v>6250.8230559524654</v>
          </cell>
          <cell r="AY183" t="e">
            <v>#REF!</v>
          </cell>
          <cell r="BF183" t="str">
            <v>PCV</v>
          </cell>
          <cell r="BG183" t="str">
            <v>Byron Nehemias Ortega Ruiz</v>
          </cell>
          <cell r="BH183" t="str">
            <v>Brenda Búcaro</v>
          </cell>
          <cell r="BO183">
            <v>903600</v>
          </cell>
          <cell r="BP183">
            <v>0</v>
          </cell>
        </row>
        <row r="184">
          <cell r="B184">
            <v>1014</v>
          </cell>
          <cell r="C184" t="str">
            <v>B1</v>
          </cell>
          <cell r="D184">
            <v>48.69</v>
          </cell>
          <cell r="E184">
            <v>2</v>
          </cell>
          <cell r="G184">
            <v>1.26</v>
          </cell>
          <cell r="H184">
            <v>1</v>
          </cell>
          <cell r="L184" t="str">
            <v>IGUAL</v>
          </cell>
          <cell r="M184" t="str">
            <v>S-3_170</v>
          </cell>
          <cell r="N184" t="str">
            <v>S3_170</v>
          </cell>
          <cell r="O184" t="str">
            <v>S3_126</v>
          </cell>
          <cell r="P184" t="str">
            <v>MISMO SÓTANO</v>
          </cell>
          <cell r="Q184">
            <v>13175</v>
          </cell>
          <cell r="R184">
            <v>769591.03799999994</v>
          </cell>
          <cell r="S184">
            <v>841163.00453399995</v>
          </cell>
          <cell r="T184">
            <v>769624.88563586457</v>
          </cell>
          <cell r="U184">
            <v>841200</v>
          </cell>
          <cell r="V184">
            <v>42100</v>
          </cell>
          <cell r="W184">
            <v>883300</v>
          </cell>
          <cell r="AA184">
            <v>883300</v>
          </cell>
          <cell r="AC184">
            <v>883300</v>
          </cell>
          <cell r="AF184">
            <v>883300</v>
          </cell>
          <cell r="AH184">
            <v>0</v>
          </cell>
          <cell r="AI184">
            <v>883300</v>
          </cell>
          <cell r="AN184">
            <v>883300</v>
          </cell>
          <cell r="AO184">
            <v>883300</v>
          </cell>
          <cell r="AP184">
            <v>883300</v>
          </cell>
          <cell r="AQ184">
            <v>88330</v>
          </cell>
          <cell r="AR184">
            <v>10000</v>
          </cell>
          <cell r="AS184">
            <v>78330</v>
          </cell>
          <cell r="AT184">
            <v>794970</v>
          </cell>
          <cell r="AU184">
            <v>5428.4898874794962</v>
          </cell>
          <cell r="AV184">
            <v>424.2749313815188</v>
          </cell>
          <cell r="AW184">
            <v>257.62916666666666</v>
          </cell>
          <cell r="AX184">
            <v>6110.3939855276813</v>
          </cell>
          <cell r="AY184" t="e">
            <v>#REF!</v>
          </cell>
          <cell r="BF184" t="str">
            <v>PCV</v>
          </cell>
          <cell r="BG184" t="str">
            <v>Jorge Reyes</v>
          </cell>
          <cell r="BH184" t="str">
            <v>Antonio Rada</v>
          </cell>
          <cell r="BL184">
            <v>1</v>
          </cell>
          <cell r="BN184">
            <v>1</v>
          </cell>
          <cell r="BO184">
            <v>883300</v>
          </cell>
          <cell r="BP184">
            <v>0</v>
          </cell>
        </row>
        <row r="185">
          <cell r="B185">
            <v>1015</v>
          </cell>
          <cell r="C185" t="str">
            <v>E2</v>
          </cell>
          <cell r="D185">
            <v>70.81</v>
          </cell>
          <cell r="E185">
            <v>3</v>
          </cell>
          <cell r="F185">
            <v>1</v>
          </cell>
          <cell r="G185">
            <v>1.26</v>
          </cell>
          <cell r="I185">
            <v>1</v>
          </cell>
          <cell r="J185">
            <v>64</v>
          </cell>
          <cell r="K185">
            <v>67</v>
          </cell>
          <cell r="L185" t="str">
            <v>DIFERENTE</v>
          </cell>
          <cell r="M185" t="str">
            <v>S-3_216-217</v>
          </cell>
          <cell r="N185" t="str">
            <v>S3_216-217</v>
          </cell>
          <cell r="O185" t="str">
            <v>S3_152</v>
          </cell>
          <cell r="P185" t="str">
            <v>MISMO SÓTANO</v>
          </cell>
          <cell r="Q185">
            <v>12710</v>
          </cell>
          <cell r="R185">
            <v>1190239.388</v>
          </cell>
          <cell r="S185">
            <v>1300931.651084</v>
          </cell>
          <cell r="T185">
            <v>1190301.9213174749</v>
          </cell>
          <cell r="U185">
            <v>1301000</v>
          </cell>
          <cell r="V185">
            <v>32600</v>
          </cell>
          <cell r="W185">
            <v>1333600</v>
          </cell>
          <cell r="AA185">
            <v>1333600</v>
          </cell>
          <cell r="AC185">
            <v>1333600</v>
          </cell>
          <cell r="AF185">
            <v>1333600</v>
          </cell>
          <cell r="AH185">
            <v>0</v>
          </cell>
          <cell r="AI185">
            <v>1333600</v>
          </cell>
          <cell r="AN185">
            <v>1333600</v>
          </cell>
          <cell r="AO185">
            <v>1333600</v>
          </cell>
          <cell r="AP185">
            <v>1333600</v>
          </cell>
          <cell r="AQ185">
            <v>133360</v>
          </cell>
          <cell r="AR185">
            <v>10000</v>
          </cell>
          <cell r="AS185">
            <v>123360</v>
          </cell>
          <cell r="AT185">
            <v>1200240</v>
          </cell>
          <cell r="AU185">
            <v>8195.8950684282299</v>
          </cell>
          <cell r="AV185">
            <v>640.56724611161928</v>
          </cell>
          <cell r="AW185">
            <v>388.9666666666667</v>
          </cell>
          <cell r="AX185">
            <v>9225.4289812065163</v>
          </cell>
          <cell r="AY185" t="e">
            <v>#REF!</v>
          </cell>
          <cell r="BF185" t="str">
            <v>PCV</v>
          </cell>
          <cell r="BG185" t="str">
            <v xml:space="preserve">Pedro Artero </v>
          </cell>
          <cell r="BH185" t="str">
            <v xml:space="preserve">Antonio Rada </v>
          </cell>
          <cell r="BL185">
            <v>1</v>
          </cell>
          <cell r="BO185">
            <v>1333600</v>
          </cell>
          <cell r="BP185">
            <v>0</v>
          </cell>
        </row>
        <row r="186">
          <cell r="B186">
            <v>1016</v>
          </cell>
          <cell r="C186" t="str">
            <v>A2</v>
          </cell>
          <cell r="D186">
            <v>34.9</v>
          </cell>
          <cell r="E186">
            <v>1</v>
          </cell>
          <cell r="G186">
            <v>1.49</v>
          </cell>
          <cell r="H186">
            <v>1</v>
          </cell>
          <cell r="L186" t="str">
            <v>IGUAL</v>
          </cell>
          <cell r="M186" t="str">
            <v>S-4_235</v>
          </cell>
          <cell r="N186" t="str">
            <v>S4_235</v>
          </cell>
          <cell r="O186" t="str">
            <v>S4_163</v>
          </cell>
          <cell r="P186" t="str">
            <v>MISMO SÓTANO</v>
          </cell>
          <cell r="Q186">
            <v>13368.75</v>
          </cell>
          <cell r="R186">
            <v>596148.28700000001</v>
          </cell>
          <cell r="S186">
            <v>651590.07769099995</v>
          </cell>
          <cell r="T186">
            <v>596157.36505032028</v>
          </cell>
          <cell r="U186">
            <v>651600</v>
          </cell>
          <cell r="V186">
            <v>35900</v>
          </cell>
          <cell r="W186">
            <v>687500</v>
          </cell>
          <cell r="AA186">
            <v>687500</v>
          </cell>
          <cell r="AC186">
            <v>687500</v>
          </cell>
          <cell r="AF186">
            <v>687500</v>
          </cell>
          <cell r="AH186">
            <v>-35900</v>
          </cell>
          <cell r="AI186">
            <v>651600</v>
          </cell>
          <cell r="AN186">
            <v>651600</v>
          </cell>
          <cell r="AO186">
            <v>651600</v>
          </cell>
          <cell r="AP186">
            <v>651600</v>
          </cell>
          <cell r="AQ186">
            <v>65160</v>
          </cell>
          <cell r="AR186">
            <v>10000</v>
          </cell>
          <cell r="AS186">
            <v>55160</v>
          </cell>
          <cell r="AT186">
            <v>586440</v>
          </cell>
          <cell r="AU186">
            <v>4004.5330133382081</v>
          </cell>
          <cell r="AV186">
            <v>312.98261665141814</v>
          </cell>
          <cell r="AW186">
            <v>190.04999999999998</v>
          </cell>
          <cell r="AX186">
            <v>4507.5656299896264</v>
          </cell>
          <cell r="AY186" t="e">
            <v>#REF!</v>
          </cell>
          <cell r="BF186" t="str">
            <v>PCV</v>
          </cell>
          <cell r="BG186" t="str">
            <v>Sergio Bolaños</v>
          </cell>
          <cell r="BH186" t="str">
            <v>Brenda Búcaro</v>
          </cell>
          <cell r="BL186">
            <v>1</v>
          </cell>
          <cell r="BN186">
            <v>1</v>
          </cell>
          <cell r="BO186">
            <v>687500</v>
          </cell>
          <cell r="BP186">
            <v>0</v>
          </cell>
        </row>
        <row r="187">
          <cell r="B187">
            <v>1017</v>
          </cell>
          <cell r="C187" t="str">
            <v>A6</v>
          </cell>
          <cell r="D187">
            <v>35.69</v>
          </cell>
          <cell r="E187">
            <v>1</v>
          </cell>
          <cell r="G187">
            <v>1.49</v>
          </cell>
          <cell r="H187">
            <v>1</v>
          </cell>
          <cell r="L187" t="str">
            <v>IGUAL</v>
          </cell>
          <cell r="M187" t="str">
            <v>S-4_236</v>
          </cell>
          <cell r="N187" t="str">
            <v>S4_236</v>
          </cell>
          <cell r="O187" t="str">
            <v>S4_164</v>
          </cell>
          <cell r="P187" t="str">
            <v>MISMO SÓTANO</v>
          </cell>
          <cell r="Q187">
            <v>13368.75</v>
          </cell>
          <cell r="R187">
            <v>606709.59950000001</v>
          </cell>
          <cell r="S187">
            <v>663133.59225350001</v>
          </cell>
          <cell r="T187">
            <v>606770.35681610252</v>
          </cell>
          <cell r="U187">
            <v>663200</v>
          </cell>
          <cell r="V187">
            <v>36500</v>
          </cell>
          <cell r="W187">
            <v>699700</v>
          </cell>
          <cell r="AA187">
            <v>699700</v>
          </cell>
          <cell r="AC187">
            <v>699700</v>
          </cell>
          <cell r="AF187">
            <v>699700</v>
          </cell>
          <cell r="AH187">
            <v>-36500</v>
          </cell>
          <cell r="AI187">
            <v>663200</v>
          </cell>
          <cell r="AN187">
            <v>663200</v>
          </cell>
          <cell r="AO187">
            <v>663200</v>
          </cell>
          <cell r="AP187">
            <v>663200</v>
          </cell>
          <cell r="AQ187">
            <v>66320</v>
          </cell>
          <cell r="AR187">
            <v>10000</v>
          </cell>
          <cell r="AS187">
            <v>56320</v>
          </cell>
          <cell r="AT187">
            <v>596880</v>
          </cell>
          <cell r="AU187">
            <v>4075.8230424277158</v>
          </cell>
          <cell r="AV187">
            <v>318.55443732845373</v>
          </cell>
          <cell r="AW187">
            <v>193.43333333333337</v>
          </cell>
          <cell r="AX187">
            <v>4587.8108130895025</v>
          </cell>
          <cell r="AY187" t="e">
            <v>#REF!</v>
          </cell>
          <cell r="BF187" t="str">
            <v>PCV</v>
          </cell>
          <cell r="BG187" t="str">
            <v>Irene Reyes</v>
          </cell>
          <cell r="BH187" t="str">
            <v>Brenda Búcaro</v>
          </cell>
          <cell r="BL187">
            <v>1</v>
          </cell>
          <cell r="BN187">
            <v>1</v>
          </cell>
          <cell r="BO187">
            <v>699700</v>
          </cell>
          <cell r="BP187">
            <v>0</v>
          </cell>
        </row>
        <row r="188">
          <cell r="B188">
            <v>1018</v>
          </cell>
          <cell r="C188" t="str">
            <v>A3</v>
          </cell>
          <cell r="D188">
            <v>35.94</v>
          </cell>
          <cell r="E188">
            <v>1</v>
          </cell>
          <cell r="G188">
            <v>1.49</v>
          </cell>
          <cell r="H188">
            <v>1</v>
          </cell>
          <cell r="L188" t="str">
            <v>IGUAL</v>
          </cell>
          <cell r="M188" t="str">
            <v>S-4_237</v>
          </cell>
          <cell r="N188" t="str">
            <v>S4_237</v>
          </cell>
          <cell r="O188" t="str">
            <v>S4_165</v>
          </cell>
          <cell r="P188" t="str">
            <v>MISMO SÓTANO</v>
          </cell>
          <cell r="Q188">
            <v>13368.75</v>
          </cell>
          <cell r="R188">
            <v>610051.78700000001</v>
          </cell>
          <cell r="S188">
            <v>666786.60319099994</v>
          </cell>
          <cell r="T188">
            <v>610064.04391582799</v>
          </cell>
          <cell r="U188">
            <v>666800</v>
          </cell>
          <cell r="V188">
            <v>36700</v>
          </cell>
          <cell r="W188">
            <v>703500</v>
          </cell>
          <cell r="AA188">
            <v>703500</v>
          </cell>
          <cell r="AC188">
            <v>703500</v>
          </cell>
          <cell r="AF188">
            <v>703500</v>
          </cell>
          <cell r="AH188">
            <v>-12872.829999999958</v>
          </cell>
          <cell r="AI188">
            <v>690627.17</v>
          </cell>
          <cell r="AN188">
            <v>690627.17</v>
          </cell>
          <cell r="AO188">
            <v>690700</v>
          </cell>
          <cell r="AP188">
            <v>690627.17</v>
          </cell>
          <cell r="AQ188">
            <v>69062.717000000004</v>
          </cell>
          <cell r="AR188">
            <v>10000</v>
          </cell>
          <cell r="AS188">
            <v>59062.717000000004</v>
          </cell>
          <cell r="AT188">
            <v>621564.45299999998</v>
          </cell>
          <cell r="AU188">
            <v>4244.3819861469292</v>
          </cell>
          <cell r="AV188">
            <v>331.72851258005488</v>
          </cell>
          <cell r="AW188">
            <v>201.43292458333335</v>
          </cell>
          <cell r="AX188">
            <v>4777.5434233103169</v>
          </cell>
          <cell r="AY188" t="e">
            <v>#REF!</v>
          </cell>
          <cell r="BF188" t="str">
            <v>PCV</v>
          </cell>
          <cell r="BG188" t="str">
            <v>Julio Alfonso Aldana Recinos</v>
          </cell>
          <cell r="BH188" t="str">
            <v>Antonio Rada</v>
          </cell>
          <cell r="BL188">
            <v>1</v>
          </cell>
          <cell r="BN188">
            <v>1</v>
          </cell>
          <cell r="BO188">
            <v>703500</v>
          </cell>
          <cell r="BP188">
            <v>0</v>
          </cell>
        </row>
        <row r="189">
          <cell r="B189">
            <v>1019</v>
          </cell>
          <cell r="C189" t="str">
            <v>C3</v>
          </cell>
          <cell r="D189">
            <v>54.27</v>
          </cell>
          <cell r="E189">
            <v>2</v>
          </cell>
          <cell r="F189">
            <v>1</v>
          </cell>
          <cell r="G189">
            <v>1.26</v>
          </cell>
          <cell r="H189">
            <v>1</v>
          </cell>
          <cell r="J189">
            <v>17</v>
          </cell>
          <cell r="K189">
            <v>22</v>
          </cell>
          <cell r="L189" t="str">
            <v>DIFERENTE</v>
          </cell>
          <cell r="M189" t="str">
            <v>S-2_84</v>
          </cell>
          <cell r="N189" t="str">
            <v>S2_84</v>
          </cell>
          <cell r="O189" t="str">
            <v>S2_62</v>
          </cell>
          <cell r="P189" t="str">
            <v>MISMO SÓTANO</v>
          </cell>
          <cell r="Q189">
            <v>13175</v>
          </cell>
          <cell r="R189">
            <v>909251.53799999994</v>
          </cell>
          <cell r="S189">
            <v>993811.93103399989</v>
          </cell>
          <cell r="T189">
            <v>909332.11344922229</v>
          </cell>
          <cell r="U189">
            <v>993900</v>
          </cell>
          <cell r="W189">
            <v>993900</v>
          </cell>
          <cell r="AA189">
            <v>993900</v>
          </cell>
          <cell r="AC189">
            <v>921600</v>
          </cell>
          <cell r="AF189">
            <v>921600</v>
          </cell>
          <cell r="AH189">
            <v>-8431.075380000053</v>
          </cell>
          <cell r="AI189">
            <v>913168.92461999995</v>
          </cell>
          <cell r="AJ189">
            <v>438321.08381759998</v>
          </cell>
          <cell r="AK189">
            <v>10000</v>
          </cell>
          <cell r="AN189">
            <v>1361490.0084376</v>
          </cell>
          <cell r="AO189">
            <v>1361500</v>
          </cell>
          <cell r="AP189">
            <v>1391500</v>
          </cell>
          <cell r="AQ189">
            <v>91316.892462000003</v>
          </cell>
          <cell r="AR189">
            <v>10000</v>
          </cell>
          <cell r="AS189">
            <v>81316.892462000003</v>
          </cell>
          <cell r="AT189">
            <v>821852.03215799993</v>
          </cell>
          <cell r="AU189">
            <v>5612.0551034305399</v>
          </cell>
          <cell r="AV189">
            <v>438.62185308828901</v>
          </cell>
          <cell r="AW189">
            <v>266.34093634749996</v>
          </cell>
          <cell r="AX189">
            <v>6317.017892866329</v>
          </cell>
          <cell r="AY189" t="e">
            <v>#REF!</v>
          </cell>
          <cell r="BF189" t="str">
            <v>PCV</v>
          </cell>
          <cell r="BG189" t="str">
            <v>Gloria Fernanda Moran Guevara</v>
          </cell>
          <cell r="BH189" t="str">
            <v>Mario Rodriguez</v>
          </cell>
          <cell r="BI189">
            <v>45896</v>
          </cell>
          <cell r="BL189">
            <v>1</v>
          </cell>
          <cell r="BN189">
            <v>1</v>
          </cell>
          <cell r="BO189">
            <v>913200</v>
          </cell>
          <cell r="BP189">
            <v>-80700</v>
          </cell>
        </row>
        <row r="190">
          <cell r="B190">
            <v>1020</v>
          </cell>
          <cell r="C190" t="str">
            <v>C2</v>
          </cell>
          <cell r="D190">
            <v>54.73</v>
          </cell>
          <cell r="E190">
            <v>2</v>
          </cell>
          <cell r="F190">
            <v>1</v>
          </cell>
          <cell r="G190">
            <v>1.38</v>
          </cell>
          <cell r="H190">
            <v>1</v>
          </cell>
          <cell r="J190">
            <v>75</v>
          </cell>
          <cell r="K190">
            <v>75</v>
          </cell>
          <cell r="L190" t="str">
            <v>IGUAL</v>
          </cell>
          <cell r="M190" t="str">
            <v>S-4_271</v>
          </cell>
          <cell r="N190" t="str">
            <v>S4_271</v>
          </cell>
          <cell r="O190" t="str">
            <v>S4_199</v>
          </cell>
          <cell r="P190" t="str">
            <v>MISMO SÓTANO</v>
          </cell>
          <cell r="Q190">
            <v>13175</v>
          </cell>
          <cell r="R190">
            <v>916083.49399999995</v>
          </cell>
          <cell r="S190">
            <v>1001279.2589419999</v>
          </cell>
          <cell r="T190">
            <v>916102.47026532481</v>
          </cell>
          <cell r="U190">
            <v>1001300</v>
          </cell>
          <cell r="V190">
            <v>50100</v>
          </cell>
          <cell r="W190">
            <v>1051400</v>
          </cell>
          <cell r="X190">
            <v>26285</v>
          </cell>
          <cell r="AA190">
            <v>1077685</v>
          </cell>
          <cell r="AC190">
            <v>1077685</v>
          </cell>
          <cell r="AF190">
            <v>1077685</v>
          </cell>
          <cell r="AG190">
            <v>161652.75</v>
          </cell>
          <cell r="AH190">
            <v>20659.622586349957</v>
          </cell>
          <cell r="AI190">
            <v>1259997.37258635</v>
          </cell>
          <cell r="AJ190">
            <v>100799.789806908</v>
          </cell>
          <cell r="AK190">
            <v>10000</v>
          </cell>
          <cell r="AN190">
            <v>1370797.162393258</v>
          </cell>
          <cell r="AO190">
            <v>1370800</v>
          </cell>
          <cell r="AP190">
            <v>1420800</v>
          </cell>
          <cell r="AQ190">
            <v>125999.737258635</v>
          </cell>
          <cell r="AR190">
            <v>10000</v>
          </cell>
          <cell r="AS190">
            <v>115999.737258635</v>
          </cell>
          <cell r="AT190">
            <v>1133997.635327715</v>
          </cell>
          <cell r="AU190">
            <v>7743.5559779641517</v>
          </cell>
          <cell r="AV190">
            <v>605.21374255062551</v>
          </cell>
          <cell r="AW190">
            <v>367.49923367101877</v>
          </cell>
          <cell r="AX190">
            <v>8716.2689541857962</v>
          </cell>
          <cell r="AY190" t="e">
            <v>#REF!</v>
          </cell>
          <cell r="BF190" t="str">
            <v>Reservado</v>
          </cell>
          <cell r="BG190" t="str">
            <v>Bernerd Alexandro Godínez López</v>
          </cell>
          <cell r="BH190" t="str">
            <v>Erwin Cardona</v>
          </cell>
          <cell r="BI190">
            <v>45985</v>
          </cell>
          <cell r="BL190" t="str">
            <v>Leads</v>
          </cell>
          <cell r="BN190">
            <v>1</v>
          </cell>
          <cell r="BO190">
            <v>1077700</v>
          </cell>
          <cell r="BP190">
            <v>15</v>
          </cell>
        </row>
        <row r="191">
          <cell r="B191">
            <v>1101</v>
          </cell>
          <cell r="C191" t="str">
            <v>D10</v>
          </cell>
          <cell r="D191">
            <v>59.8</v>
          </cell>
          <cell r="E191">
            <v>3</v>
          </cell>
          <cell r="F191">
            <v>1</v>
          </cell>
          <cell r="G191">
            <v>1.26</v>
          </cell>
          <cell r="I191">
            <v>1</v>
          </cell>
          <cell r="J191">
            <v>88</v>
          </cell>
          <cell r="K191">
            <v>90</v>
          </cell>
          <cell r="L191" t="str">
            <v>DIFERENTE</v>
          </cell>
          <cell r="M191" t="str">
            <v>S-4_296-297</v>
          </cell>
          <cell r="N191" t="str">
            <v>S4_296-297</v>
          </cell>
          <cell r="O191" t="str">
            <v>S4_212</v>
          </cell>
          <cell r="P191" t="str">
            <v>MISMO SÓTANO</v>
          </cell>
          <cell r="Q191">
            <v>12710</v>
          </cell>
          <cell r="R191">
            <v>1050302.2879999999</v>
          </cell>
          <cell r="S191">
            <v>1147980.4007839998</v>
          </cell>
          <cell r="T191">
            <v>1050320.21957914</v>
          </cell>
          <cell r="U191">
            <v>1148000</v>
          </cell>
          <cell r="V191">
            <v>28700</v>
          </cell>
          <cell r="W191">
            <v>1176700</v>
          </cell>
          <cell r="AA191">
            <v>1176700</v>
          </cell>
          <cell r="AC191">
            <v>1176700</v>
          </cell>
          <cell r="AF191">
            <v>1176700</v>
          </cell>
          <cell r="AH191">
            <v>0</v>
          </cell>
          <cell r="AI191">
            <v>1176700</v>
          </cell>
          <cell r="AN191">
            <v>1176700</v>
          </cell>
          <cell r="AO191">
            <v>1176700</v>
          </cell>
          <cell r="AP191">
            <v>1176700</v>
          </cell>
          <cell r="AQ191">
            <v>117670</v>
          </cell>
          <cell r="AR191">
            <v>10000</v>
          </cell>
          <cell r="AS191">
            <v>107670</v>
          </cell>
          <cell r="AT191">
            <v>1059030</v>
          </cell>
          <cell r="AU191">
            <v>7231.6359680710102</v>
          </cell>
          <cell r="AV191">
            <v>565.20356816102469</v>
          </cell>
          <cell r="AW191">
            <v>343.20416666666665</v>
          </cell>
          <cell r="AX191">
            <v>8140.0437028987017</v>
          </cell>
          <cell r="AY191" t="e">
            <v>#REF!</v>
          </cell>
          <cell r="BF191" t="str">
            <v>PCV</v>
          </cell>
          <cell r="BG191" t="str">
            <v>Maria Fernanda Contreras</v>
          </cell>
          <cell r="BH191" t="str">
            <v>Antonio Rada</v>
          </cell>
          <cell r="BL191">
            <v>1</v>
          </cell>
          <cell r="BN191">
            <v>1</v>
          </cell>
          <cell r="BO191">
            <v>1176700</v>
          </cell>
          <cell r="BP191">
            <v>0</v>
          </cell>
        </row>
        <row r="192">
          <cell r="B192">
            <v>1102</v>
          </cell>
          <cell r="C192" t="str">
            <v>D11</v>
          </cell>
          <cell r="D192">
            <v>60.09</v>
          </cell>
          <cell r="E192">
            <v>3</v>
          </cell>
          <cell r="F192">
            <v>1</v>
          </cell>
          <cell r="G192">
            <v>1.26</v>
          </cell>
          <cell r="I192">
            <v>1</v>
          </cell>
          <cell r="J192">
            <v>89</v>
          </cell>
          <cell r="K192">
            <v>91</v>
          </cell>
          <cell r="L192" t="str">
            <v>DIFERENTE</v>
          </cell>
          <cell r="M192" t="str">
            <v>S-4_298-299</v>
          </cell>
          <cell r="N192" t="str">
            <v>S4_298-299</v>
          </cell>
          <cell r="O192" t="str">
            <v>S4_213</v>
          </cell>
          <cell r="P192" t="str">
            <v>MISMO SÓTANO</v>
          </cell>
          <cell r="Q192">
            <v>12710</v>
          </cell>
          <cell r="R192">
            <v>1053988.1880000001</v>
          </cell>
          <cell r="S192">
            <v>1152009.0894840001</v>
          </cell>
          <cell r="T192">
            <v>1054071.363220494</v>
          </cell>
          <cell r="U192">
            <v>1152100</v>
          </cell>
          <cell r="W192">
            <v>1152100</v>
          </cell>
          <cell r="AA192">
            <v>1152100</v>
          </cell>
          <cell r="AC192">
            <v>1152100</v>
          </cell>
          <cell r="AF192">
            <v>1152100</v>
          </cell>
          <cell r="AH192">
            <v>0</v>
          </cell>
          <cell r="AI192">
            <v>1152100</v>
          </cell>
          <cell r="AN192">
            <v>1152100</v>
          </cell>
          <cell r="AO192">
            <v>1152100</v>
          </cell>
          <cell r="AP192">
            <v>1152100</v>
          </cell>
          <cell r="AQ192">
            <v>115210</v>
          </cell>
          <cell r="AR192">
            <v>10000</v>
          </cell>
          <cell r="AS192">
            <v>105210</v>
          </cell>
          <cell r="AT192">
            <v>1036890</v>
          </cell>
          <cell r="AU192">
            <v>7080.4519408639508</v>
          </cell>
          <cell r="AV192">
            <v>553.38746569075931</v>
          </cell>
          <cell r="AW192">
            <v>336.02916666666664</v>
          </cell>
          <cell r="AX192">
            <v>7969.8685732213762</v>
          </cell>
          <cell r="AY192" t="e">
            <v>#REF!</v>
          </cell>
          <cell r="BF192" t="str">
            <v>PCV</v>
          </cell>
          <cell r="BG192" t="str">
            <v>Luis Alberto López</v>
          </cell>
          <cell r="BH192" t="str">
            <v>Antonio Rada</v>
          </cell>
          <cell r="BL192">
            <v>1</v>
          </cell>
          <cell r="BN192">
            <v>1</v>
          </cell>
          <cell r="BO192">
            <v>1152100</v>
          </cell>
          <cell r="BP192">
            <v>0</v>
          </cell>
        </row>
        <row r="193">
          <cell r="B193">
            <v>1103</v>
          </cell>
          <cell r="C193" t="str">
            <v>B4</v>
          </cell>
          <cell r="D193">
            <v>49.77</v>
          </cell>
          <cell r="E193">
            <v>2</v>
          </cell>
          <cell r="G193">
            <v>1.49</v>
          </cell>
          <cell r="H193">
            <v>1</v>
          </cell>
          <cell r="L193" t="str">
            <v>IGUAL</v>
          </cell>
          <cell r="M193" t="str">
            <v>S-3_213</v>
          </cell>
          <cell r="N193" t="str">
            <v>S3_213</v>
          </cell>
          <cell r="O193" t="str">
            <v>S3_150</v>
          </cell>
          <cell r="P193" t="str">
            <v>MISMO SÓTANO</v>
          </cell>
          <cell r="Q193">
            <v>13175</v>
          </cell>
          <cell r="R193">
            <v>785298.66200000001</v>
          </cell>
          <cell r="S193">
            <v>858331.43756600004</v>
          </cell>
          <cell r="T193">
            <v>785361.39066788659</v>
          </cell>
          <cell r="U193">
            <v>858400</v>
          </cell>
          <cell r="V193">
            <v>43000</v>
          </cell>
          <cell r="W193">
            <v>901400</v>
          </cell>
          <cell r="AA193">
            <v>901400</v>
          </cell>
          <cell r="AC193">
            <v>901400</v>
          </cell>
          <cell r="AF193">
            <v>901400</v>
          </cell>
          <cell r="AH193">
            <v>0</v>
          </cell>
          <cell r="AI193">
            <v>901400</v>
          </cell>
          <cell r="AN193">
            <v>901400</v>
          </cell>
          <cell r="AO193">
            <v>901400</v>
          </cell>
          <cell r="AP193">
            <v>901400</v>
          </cell>
          <cell r="AQ193">
            <v>90140</v>
          </cell>
          <cell r="AR193">
            <v>10000</v>
          </cell>
          <cell r="AS193">
            <v>80140</v>
          </cell>
          <cell r="AT193">
            <v>811260</v>
          </cell>
          <cell r="AU193">
            <v>5539.7269156277798</v>
          </cell>
          <cell r="AV193">
            <v>432.96889295516917</v>
          </cell>
          <cell r="AW193">
            <v>262.90833333333336</v>
          </cell>
          <cell r="AX193">
            <v>6235.604141916283</v>
          </cell>
          <cell r="AY193" t="e">
            <v>#REF!</v>
          </cell>
          <cell r="BF193" t="str">
            <v>PCV</v>
          </cell>
          <cell r="BG193" t="str">
            <v>Samuel Salazar</v>
          </cell>
          <cell r="BH193" t="str">
            <v>Antonio Rada</v>
          </cell>
          <cell r="BL193">
            <v>1</v>
          </cell>
          <cell r="BN193">
            <v>1</v>
          </cell>
          <cell r="BO193">
            <v>901400</v>
          </cell>
          <cell r="BP193">
            <v>0</v>
          </cell>
        </row>
        <row r="194">
          <cell r="B194">
            <v>1104</v>
          </cell>
          <cell r="C194" t="str">
            <v>B3</v>
          </cell>
          <cell r="D194">
            <v>48.96</v>
          </cell>
          <cell r="E194">
            <v>2</v>
          </cell>
          <cell r="G194">
            <v>1.26</v>
          </cell>
          <cell r="H194">
            <v>1</v>
          </cell>
          <cell r="L194" t="str">
            <v>IGUAL</v>
          </cell>
          <cell r="M194" t="str">
            <v>S-3_173</v>
          </cell>
          <cell r="N194" t="str">
            <v>S3_173</v>
          </cell>
          <cell r="O194" t="str">
            <v>S3_128</v>
          </cell>
          <cell r="P194" t="str">
            <v>MISMO SÓTANO</v>
          </cell>
          <cell r="Q194">
            <v>13175</v>
          </cell>
          <cell r="R194">
            <v>773148.28799999994</v>
          </cell>
          <cell r="S194">
            <v>845051.0787839999</v>
          </cell>
          <cell r="T194">
            <v>773193.04666056728</v>
          </cell>
          <cell r="U194">
            <v>845100</v>
          </cell>
          <cell r="V194">
            <v>42300</v>
          </cell>
          <cell r="W194">
            <v>887400</v>
          </cell>
          <cell r="AA194">
            <v>887400</v>
          </cell>
          <cell r="AC194">
            <v>887400</v>
          </cell>
          <cell r="AF194">
            <v>887400</v>
          </cell>
          <cell r="AH194">
            <v>0</v>
          </cell>
          <cell r="AI194">
            <v>887400</v>
          </cell>
          <cell r="AN194">
            <v>887400</v>
          </cell>
          <cell r="AO194">
            <v>887400</v>
          </cell>
          <cell r="AP194">
            <v>887400</v>
          </cell>
          <cell r="AQ194">
            <v>88740</v>
          </cell>
          <cell r="AR194">
            <v>10000</v>
          </cell>
          <cell r="AS194">
            <v>78740</v>
          </cell>
          <cell r="AT194">
            <v>798660</v>
          </cell>
          <cell r="AU194">
            <v>5453.6872253473384</v>
          </cell>
          <cell r="AV194">
            <v>426.24428179322962</v>
          </cell>
          <cell r="AW194">
            <v>258.82499999999999</v>
          </cell>
          <cell r="AX194">
            <v>6138.7565071405679</v>
          </cell>
          <cell r="AY194" t="e">
            <v>#REF!</v>
          </cell>
          <cell r="BF194" t="str">
            <v>PCV</v>
          </cell>
          <cell r="BG194" t="str">
            <v>Gustavo Herrera</v>
          </cell>
          <cell r="BH194" t="str">
            <v>Antonio Rada</v>
          </cell>
          <cell r="BK194">
            <v>1</v>
          </cell>
          <cell r="BN194">
            <v>1</v>
          </cell>
          <cell r="BO194">
            <v>887400</v>
          </cell>
          <cell r="BP194">
            <v>0</v>
          </cell>
        </row>
        <row r="195">
          <cell r="B195">
            <v>1105</v>
          </cell>
          <cell r="C195" t="str">
            <v>A6</v>
          </cell>
          <cell r="D195">
            <v>35.69</v>
          </cell>
          <cell r="E195">
            <v>1</v>
          </cell>
          <cell r="G195">
            <v>1.49</v>
          </cell>
          <cell r="H195">
            <v>1</v>
          </cell>
          <cell r="L195" t="str">
            <v>IGUAL</v>
          </cell>
          <cell r="M195" t="str">
            <v>S-4_238</v>
          </cell>
          <cell r="N195" t="str">
            <v>S4_238</v>
          </cell>
          <cell r="O195" t="str">
            <v>S4_166</v>
          </cell>
          <cell r="P195" t="str">
            <v>MISMO SÓTANO</v>
          </cell>
          <cell r="Q195">
            <v>13368.75</v>
          </cell>
          <cell r="R195">
            <v>606709.59950000001</v>
          </cell>
          <cell r="S195">
            <v>663133.59225350001</v>
          </cell>
          <cell r="T195">
            <v>606770.35681610252</v>
          </cell>
          <cell r="U195">
            <v>663200</v>
          </cell>
          <cell r="W195">
            <v>663200</v>
          </cell>
          <cell r="AA195">
            <v>663200</v>
          </cell>
          <cell r="AC195">
            <v>663200</v>
          </cell>
          <cell r="AF195">
            <v>663200</v>
          </cell>
          <cell r="AH195">
            <v>-5307.3000000000466</v>
          </cell>
          <cell r="AI195">
            <v>657892.69999999995</v>
          </cell>
          <cell r="AN195">
            <v>657892.69999999995</v>
          </cell>
          <cell r="AO195">
            <v>657900</v>
          </cell>
          <cell r="AP195">
            <v>657892.69999999995</v>
          </cell>
          <cell r="AQ195">
            <v>65789.27</v>
          </cell>
          <cell r="AR195">
            <v>10000</v>
          </cell>
          <cell r="AS195">
            <v>55789.270000000004</v>
          </cell>
          <cell r="AT195">
            <v>592103.42999999993</v>
          </cell>
          <cell r="AU195">
            <v>4043.2060104116167</v>
          </cell>
          <cell r="AV195">
            <v>316.0051852698993</v>
          </cell>
          <cell r="AW195">
            <v>191.88537083333333</v>
          </cell>
          <cell r="AX195">
            <v>4551.0965665148497</v>
          </cell>
          <cell r="AY195" t="e">
            <v>#REF!</v>
          </cell>
          <cell r="BF195" t="str">
            <v>PCV</v>
          </cell>
          <cell r="BG195" t="str">
            <v>Luis Pedro Escobedo</v>
          </cell>
          <cell r="BH195" t="str">
            <v>Brénda Búcaro</v>
          </cell>
          <cell r="BJ195">
            <v>1</v>
          </cell>
          <cell r="BM195">
            <v>1</v>
          </cell>
          <cell r="BN195">
            <v>1</v>
          </cell>
          <cell r="BO195">
            <v>657200</v>
          </cell>
          <cell r="BP195">
            <v>-6000</v>
          </cell>
        </row>
        <row r="196">
          <cell r="B196">
            <v>1106</v>
          </cell>
          <cell r="C196" t="str">
            <v>A4</v>
          </cell>
          <cell r="D196">
            <v>35.549999999999997</v>
          </cell>
          <cell r="E196">
            <v>1</v>
          </cell>
          <cell r="G196">
            <v>1.49</v>
          </cell>
          <cell r="H196">
            <v>1</v>
          </cell>
          <cell r="L196" t="str">
            <v>IGUAL</v>
          </cell>
          <cell r="M196" t="str">
            <v>S-4_239</v>
          </cell>
          <cell r="N196" t="str">
            <v>S4_239</v>
          </cell>
          <cell r="O196" t="str">
            <v>S4_167</v>
          </cell>
          <cell r="P196" t="str">
            <v>MISMO SÓTANO</v>
          </cell>
          <cell r="Q196">
            <v>13368.75</v>
          </cell>
          <cell r="R196">
            <v>604837.97450000001</v>
          </cell>
          <cell r="S196">
            <v>661087.90612850001</v>
          </cell>
          <cell r="T196">
            <v>604849.03934126254</v>
          </cell>
          <cell r="U196">
            <v>661100</v>
          </cell>
          <cell r="V196">
            <v>36400</v>
          </cell>
          <cell r="W196">
            <v>697500</v>
          </cell>
          <cell r="AA196">
            <v>697500</v>
          </cell>
          <cell r="AC196">
            <v>697500</v>
          </cell>
          <cell r="AF196">
            <v>697500</v>
          </cell>
          <cell r="AH196">
            <v>-36400</v>
          </cell>
          <cell r="AI196">
            <v>661100</v>
          </cell>
          <cell r="AN196">
            <v>661100</v>
          </cell>
          <cell r="AO196">
            <v>661100</v>
          </cell>
          <cell r="AP196">
            <v>661100</v>
          </cell>
          <cell r="AQ196">
            <v>66110</v>
          </cell>
          <cell r="AR196">
            <v>10000</v>
          </cell>
          <cell r="AS196">
            <v>56110</v>
          </cell>
          <cell r="AT196">
            <v>594990</v>
          </cell>
          <cell r="AU196">
            <v>4062.9170888856502</v>
          </cell>
          <cell r="AV196">
            <v>317.54574565416283</v>
          </cell>
          <cell r="AW196">
            <v>192.82083333333333</v>
          </cell>
          <cell r="AX196">
            <v>4573.2836678731464</v>
          </cell>
          <cell r="AY196" t="e">
            <v>#REF!</v>
          </cell>
          <cell r="BF196" t="str">
            <v>PCV</v>
          </cell>
          <cell r="BG196" t="str">
            <v xml:space="preserve">Emerson Menendez </v>
          </cell>
          <cell r="BH196" t="str">
            <v>Antonio Rada</v>
          </cell>
          <cell r="BL196">
            <v>1</v>
          </cell>
          <cell r="BO196">
            <v>697500</v>
          </cell>
          <cell r="BP196">
            <v>0</v>
          </cell>
        </row>
        <row r="197">
          <cell r="B197">
            <v>1107</v>
          </cell>
          <cell r="C197" t="str">
            <v>A12</v>
          </cell>
          <cell r="D197">
            <v>37.17</v>
          </cell>
          <cell r="E197">
            <v>1</v>
          </cell>
          <cell r="G197">
            <v>1.55</v>
          </cell>
          <cell r="H197">
            <v>1</v>
          </cell>
          <cell r="L197" t="str">
            <v>IGUAL</v>
          </cell>
          <cell r="M197" t="str">
            <v>S-4_240</v>
          </cell>
          <cell r="N197" t="str">
            <v>S4_240</v>
          </cell>
          <cell r="O197" t="str">
            <v>S4_168</v>
          </cell>
          <cell r="P197" t="str">
            <v>MISMO SÓTANO</v>
          </cell>
          <cell r="Q197">
            <v>13368.75</v>
          </cell>
          <cell r="R197">
            <v>626881.07750000001</v>
          </cell>
          <cell r="S197">
            <v>685181.01770750002</v>
          </cell>
          <cell r="T197">
            <v>626898.4446477585</v>
          </cell>
          <cell r="U197">
            <v>685200</v>
          </cell>
          <cell r="W197">
            <v>685200</v>
          </cell>
          <cell r="AA197">
            <v>685200</v>
          </cell>
          <cell r="AC197">
            <v>685200</v>
          </cell>
          <cell r="AF197">
            <v>685200</v>
          </cell>
          <cell r="AI197">
            <v>685200</v>
          </cell>
          <cell r="AN197">
            <v>685200</v>
          </cell>
          <cell r="AO197">
            <v>685200</v>
          </cell>
          <cell r="AP197">
            <v>685200</v>
          </cell>
          <cell r="AQ197">
            <v>68520</v>
          </cell>
          <cell r="AR197">
            <v>10000</v>
          </cell>
          <cell r="AS197">
            <v>58520</v>
          </cell>
          <cell r="AT197">
            <v>616680</v>
          </cell>
          <cell r="AU197">
            <v>4211.0282700112648</v>
          </cell>
          <cell r="AV197">
            <v>329.12168344007318</v>
          </cell>
          <cell r="AW197">
            <v>199.85000000000002</v>
          </cell>
          <cell r="AX197">
            <v>4739.9999534513381</v>
          </cell>
          <cell r="AY197" t="e">
            <v>#REF!</v>
          </cell>
          <cell r="BF197" t="str">
            <v>PCV</v>
          </cell>
          <cell r="BG197" t="str">
            <v>International Coffee</v>
          </cell>
          <cell r="BH197" t="str">
            <v>Junta Directiva</v>
          </cell>
          <cell r="BO197">
            <v>685200</v>
          </cell>
          <cell r="BP197">
            <v>0</v>
          </cell>
        </row>
        <row r="198">
          <cell r="B198">
            <v>1108</v>
          </cell>
          <cell r="C198" t="str">
            <v>C6</v>
          </cell>
          <cell r="D198">
            <v>55</v>
          </cell>
          <cell r="E198">
            <v>2</v>
          </cell>
          <cell r="F198">
            <v>1</v>
          </cell>
          <cell r="G198">
            <v>1.45</v>
          </cell>
          <cell r="I198">
            <v>1</v>
          </cell>
          <cell r="J198">
            <v>90</v>
          </cell>
          <cell r="K198">
            <v>92</v>
          </cell>
          <cell r="L198" t="str">
            <v>DIFERENTE</v>
          </cell>
          <cell r="M198" t="str">
            <v>S-4_300-301</v>
          </cell>
          <cell r="N198" t="str">
            <v>S4_300-301</v>
          </cell>
          <cell r="O198" t="str">
            <v>S4_214</v>
          </cell>
          <cell r="P198" t="str">
            <v>MISMO SÓTANO</v>
          </cell>
          <cell r="Q198">
            <v>13175</v>
          </cell>
          <cell r="R198">
            <v>1016090.76</v>
          </cell>
          <cell r="S198">
            <v>1110587.20068</v>
          </cell>
          <cell r="T198">
            <v>1016102.4702653248</v>
          </cell>
          <cell r="U198">
            <v>1110600</v>
          </cell>
          <cell r="W198">
            <v>1110600</v>
          </cell>
          <cell r="AA198">
            <v>1110600</v>
          </cell>
          <cell r="AC198">
            <v>1110600</v>
          </cell>
          <cell r="AF198">
            <v>1110600</v>
          </cell>
          <cell r="AH198">
            <v>-10161.020000000019</v>
          </cell>
          <cell r="AI198">
            <v>1100438.98</v>
          </cell>
          <cell r="AJ198">
            <v>385153.64299999998</v>
          </cell>
          <cell r="AK198">
            <v>10000</v>
          </cell>
          <cell r="AN198">
            <v>1495592.6229999999</v>
          </cell>
          <cell r="AO198">
            <v>1495600</v>
          </cell>
          <cell r="AP198">
            <v>1100438.98</v>
          </cell>
          <cell r="AQ198">
            <v>110043.898</v>
          </cell>
          <cell r="AR198">
            <v>10000</v>
          </cell>
          <cell r="AS198">
            <v>100043.898</v>
          </cell>
          <cell r="AT198">
            <v>990395.08199999994</v>
          </cell>
          <cell r="AU198">
            <v>6762.9592151231182</v>
          </cell>
          <cell r="AV198">
            <v>528.57316056724608</v>
          </cell>
          <cell r="AW198">
            <v>320.96136916666666</v>
          </cell>
          <cell r="AX198">
            <v>7612.4937448570308</v>
          </cell>
          <cell r="AY198" t="e">
            <v>#REF!</v>
          </cell>
          <cell r="BF198" t="str">
            <v>PCV</v>
          </cell>
          <cell r="BG198" t="str">
            <v>Dennis Cotto</v>
          </cell>
          <cell r="BO198">
            <v>1100438.98</v>
          </cell>
          <cell r="BP198">
            <v>-10161.020000000019</v>
          </cell>
        </row>
        <row r="199">
          <cell r="B199">
            <v>1109</v>
          </cell>
          <cell r="C199" t="str">
            <v>C5</v>
          </cell>
          <cell r="D199">
            <v>54.86</v>
          </cell>
          <cell r="E199">
            <v>2</v>
          </cell>
          <cell r="F199">
            <v>1</v>
          </cell>
          <cell r="G199">
            <v>1.45</v>
          </cell>
          <cell r="I199">
            <v>1</v>
          </cell>
          <cell r="J199">
            <v>91</v>
          </cell>
          <cell r="K199">
            <v>93</v>
          </cell>
          <cell r="L199" t="str">
            <v>DIFERENTE</v>
          </cell>
          <cell r="M199" t="str">
            <v>S-4_302-303</v>
          </cell>
          <cell r="N199" t="str">
            <v>S4_302-303</v>
          </cell>
          <cell r="O199" t="str">
            <v>S4_215</v>
          </cell>
          <cell r="P199" t="str">
            <v>MISMO SÓTANO</v>
          </cell>
          <cell r="Q199">
            <v>13175</v>
          </cell>
          <cell r="R199">
            <v>1014246.26</v>
          </cell>
          <cell r="S199">
            <v>1108571.16218</v>
          </cell>
          <cell r="T199">
            <v>1014272.6440988106</v>
          </cell>
          <cell r="U199">
            <v>1108600</v>
          </cell>
          <cell r="V199">
            <v>55500</v>
          </cell>
          <cell r="W199">
            <v>1164100</v>
          </cell>
          <cell r="X199">
            <v>29102.5</v>
          </cell>
          <cell r="AA199">
            <v>1193202.5</v>
          </cell>
          <cell r="AC199">
            <v>1193202.5</v>
          </cell>
          <cell r="AF199">
            <v>1193202.5</v>
          </cell>
          <cell r="AH199">
            <v>-10916.770000000019</v>
          </cell>
          <cell r="AI199">
            <v>1182285.73</v>
          </cell>
          <cell r="AN199">
            <v>1182285.73</v>
          </cell>
          <cell r="AO199">
            <v>1182300</v>
          </cell>
          <cell r="AP199">
            <v>1182285.73</v>
          </cell>
          <cell r="AQ199">
            <v>118228.573</v>
          </cell>
          <cell r="AR199">
            <v>10000</v>
          </cell>
          <cell r="AS199">
            <v>108228.573</v>
          </cell>
          <cell r="AT199">
            <v>1064057.1569999999</v>
          </cell>
          <cell r="AU199">
            <v>7265.9641451560201</v>
          </cell>
          <cell r="AV199">
            <v>567.88655832570896</v>
          </cell>
          <cell r="AW199">
            <v>344.83333791666672</v>
          </cell>
          <cell r="AX199">
            <v>8178.6840413983964</v>
          </cell>
          <cell r="AY199" t="e">
            <v>#REF!</v>
          </cell>
          <cell r="BF199" t="str">
            <v>PCV</v>
          </cell>
          <cell r="BG199" t="str">
            <v>Fausto Melgar</v>
          </cell>
          <cell r="BH199" t="str">
            <v>Antonio Rada</v>
          </cell>
          <cell r="BK199">
            <v>1</v>
          </cell>
          <cell r="BN199">
            <v>1</v>
          </cell>
          <cell r="BO199">
            <v>1193300</v>
          </cell>
          <cell r="BP199">
            <v>97.5</v>
          </cell>
        </row>
        <row r="200">
          <cell r="B200">
            <v>1110</v>
          </cell>
          <cell r="C200" t="str">
            <v>C6</v>
          </cell>
          <cell r="D200">
            <v>55</v>
          </cell>
          <cell r="E200">
            <v>2</v>
          </cell>
          <cell r="F200">
            <v>1</v>
          </cell>
          <cell r="G200">
            <v>1.45</v>
          </cell>
          <cell r="I200">
            <v>1</v>
          </cell>
          <cell r="J200">
            <v>92</v>
          </cell>
          <cell r="K200">
            <v>94</v>
          </cell>
          <cell r="L200" t="str">
            <v>DIFERENTE</v>
          </cell>
          <cell r="M200" t="str">
            <v>S-4_304-305</v>
          </cell>
          <cell r="N200" t="str">
            <v>S4_304-305</v>
          </cell>
          <cell r="O200" t="str">
            <v>S4_216</v>
          </cell>
          <cell r="P200" t="str">
            <v>MISMO SÓTANO</v>
          </cell>
          <cell r="Q200">
            <v>13175</v>
          </cell>
          <cell r="R200">
            <v>1016090.76</v>
          </cell>
          <cell r="S200">
            <v>1110587.20068</v>
          </cell>
          <cell r="T200">
            <v>1016102.4702653248</v>
          </cell>
          <cell r="U200">
            <v>1110600</v>
          </cell>
          <cell r="V200">
            <v>55600</v>
          </cell>
          <cell r="W200">
            <v>1166200</v>
          </cell>
          <cell r="AA200">
            <v>1166200</v>
          </cell>
          <cell r="AC200">
            <v>1166200</v>
          </cell>
          <cell r="AF200">
            <v>1166200</v>
          </cell>
          <cell r="AH200">
            <v>0</v>
          </cell>
          <cell r="AI200">
            <v>1166200</v>
          </cell>
          <cell r="AN200">
            <v>1166200</v>
          </cell>
          <cell r="AO200">
            <v>1166200</v>
          </cell>
          <cell r="AP200">
            <v>1166200</v>
          </cell>
          <cell r="AQ200">
            <v>116620</v>
          </cell>
          <cell r="AR200">
            <v>10000</v>
          </cell>
          <cell r="AS200">
            <v>106620</v>
          </cell>
          <cell r="AT200">
            <v>1049580</v>
          </cell>
          <cell r="AU200">
            <v>7167.1062003606794</v>
          </cell>
          <cell r="AV200">
            <v>560.1601097895699</v>
          </cell>
          <cell r="AW200">
            <v>340.14166666666671</v>
          </cell>
          <cell r="AX200">
            <v>8067.4079768169158</v>
          </cell>
          <cell r="AY200" t="e">
            <v>#REF!</v>
          </cell>
          <cell r="BF200" t="str">
            <v>PCV</v>
          </cell>
          <cell r="BG200" t="str">
            <v>Carlos Lantzendorffer</v>
          </cell>
          <cell r="BH200" t="str">
            <v>Antonio Rada</v>
          </cell>
          <cell r="BL200">
            <v>1</v>
          </cell>
          <cell r="BM200">
            <v>1</v>
          </cell>
          <cell r="BN200">
            <v>1</v>
          </cell>
          <cell r="BO200">
            <v>1166200</v>
          </cell>
          <cell r="BP200">
            <v>0</v>
          </cell>
        </row>
        <row r="201">
          <cell r="B201">
            <v>1111</v>
          </cell>
          <cell r="C201" t="str">
            <v>C5</v>
          </cell>
          <cell r="D201">
            <v>54.86</v>
          </cell>
          <cell r="E201">
            <v>2</v>
          </cell>
          <cell r="F201">
            <v>1</v>
          </cell>
          <cell r="G201">
            <v>1.45</v>
          </cell>
          <cell r="I201">
            <v>1</v>
          </cell>
          <cell r="J201">
            <v>93</v>
          </cell>
          <cell r="K201">
            <v>95</v>
          </cell>
          <cell r="L201" t="str">
            <v>DIFERENTE</v>
          </cell>
          <cell r="M201" t="str">
            <v>S-4_306-307</v>
          </cell>
          <cell r="N201" t="str">
            <v>S4_306-307</v>
          </cell>
          <cell r="O201" t="str">
            <v>S4_217</v>
          </cell>
          <cell r="P201" t="str">
            <v>MISMO SÓTANO</v>
          </cell>
          <cell r="Q201">
            <v>13175</v>
          </cell>
          <cell r="R201">
            <v>1014246.26</v>
          </cell>
          <cell r="S201">
            <v>1108571.16218</v>
          </cell>
          <cell r="T201">
            <v>1014272.6440988106</v>
          </cell>
          <cell r="U201">
            <v>1108600</v>
          </cell>
          <cell r="V201">
            <v>55500</v>
          </cell>
          <cell r="W201">
            <v>1164100</v>
          </cell>
          <cell r="X201">
            <v>29102.5</v>
          </cell>
          <cell r="AA201">
            <v>1193202.5</v>
          </cell>
          <cell r="AC201">
            <v>1193202.5</v>
          </cell>
          <cell r="AF201">
            <v>1193202.5</v>
          </cell>
          <cell r="AH201">
            <v>0</v>
          </cell>
          <cell r="AI201">
            <v>1193202.5</v>
          </cell>
          <cell r="AN201">
            <v>1193202.5</v>
          </cell>
          <cell r="AO201">
            <v>1193300</v>
          </cell>
          <cell r="AP201">
            <v>1193202.5</v>
          </cell>
          <cell r="AQ201">
            <v>119320.25</v>
          </cell>
          <cell r="AR201">
            <v>10000</v>
          </cell>
          <cell r="AS201">
            <v>109320.25</v>
          </cell>
          <cell r="AT201">
            <v>1073882.25</v>
          </cell>
          <cell r="AU201">
            <v>7333.0552529890783</v>
          </cell>
          <cell r="AV201">
            <v>573.13020356816105</v>
          </cell>
          <cell r="AW201">
            <v>348.0173958333333</v>
          </cell>
          <cell r="AX201">
            <v>8254.2028523905719</v>
          </cell>
          <cell r="AY201" t="e">
            <v>#REF!</v>
          </cell>
          <cell r="BF201" t="str">
            <v>PCV</v>
          </cell>
          <cell r="BG201" t="str">
            <v>Erika Castro Juarez</v>
          </cell>
          <cell r="BH201" t="str">
            <v>Antonio Rada</v>
          </cell>
          <cell r="BL201">
            <v>1</v>
          </cell>
          <cell r="BN201">
            <v>1</v>
          </cell>
          <cell r="BO201">
            <v>1193300</v>
          </cell>
          <cell r="BP201">
            <v>97.5</v>
          </cell>
        </row>
        <row r="202">
          <cell r="B202">
            <v>1112</v>
          </cell>
          <cell r="C202" t="str">
            <v>A8</v>
          </cell>
          <cell r="D202">
            <v>35.94</v>
          </cell>
          <cell r="E202">
            <v>1</v>
          </cell>
          <cell r="G202">
            <v>1.49</v>
          </cell>
          <cell r="H202">
            <v>1</v>
          </cell>
          <cell r="L202" t="str">
            <v>IGUAL</v>
          </cell>
          <cell r="M202" t="str">
            <v>S-4_241</v>
          </cell>
          <cell r="N202" t="str">
            <v>S4_241</v>
          </cell>
          <cell r="O202" t="str">
            <v>S4_169</v>
          </cell>
          <cell r="P202" t="str">
            <v>MISMO SÓTANO</v>
          </cell>
          <cell r="Q202">
            <v>13368.75</v>
          </cell>
          <cell r="R202">
            <v>610051.78700000001</v>
          </cell>
          <cell r="S202">
            <v>666786.60319099994</v>
          </cell>
          <cell r="T202">
            <v>610064.04391582799</v>
          </cell>
          <cell r="U202">
            <v>666800</v>
          </cell>
          <cell r="W202">
            <v>666800</v>
          </cell>
          <cell r="AA202">
            <v>666800</v>
          </cell>
          <cell r="AC202">
            <v>666800</v>
          </cell>
          <cell r="AF202">
            <v>666800</v>
          </cell>
          <cell r="AH202">
            <v>23827.170000000042</v>
          </cell>
          <cell r="AI202">
            <v>690627.17</v>
          </cell>
          <cell r="AN202">
            <v>690627.17</v>
          </cell>
          <cell r="AO202">
            <v>690700</v>
          </cell>
          <cell r="AP202">
            <v>690627.17</v>
          </cell>
          <cell r="AQ202">
            <v>69062.717000000004</v>
          </cell>
          <cell r="AR202">
            <v>10000</v>
          </cell>
          <cell r="AS202">
            <v>59062.717000000004</v>
          </cell>
          <cell r="AT202">
            <v>621564.45299999998</v>
          </cell>
          <cell r="AU202">
            <v>4244.3819861469292</v>
          </cell>
          <cell r="AV202">
            <v>331.72851258005488</v>
          </cell>
          <cell r="AW202">
            <v>201.43292458333335</v>
          </cell>
          <cell r="AX202">
            <v>4777.5434233103169</v>
          </cell>
          <cell r="AY202" t="e">
            <v>#REF!</v>
          </cell>
          <cell r="BF202" t="str">
            <v>PCV</v>
          </cell>
          <cell r="BG202" t="str">
            <v>Grupo Sak y Sak S.A</v>
          </cell>
          <cell r="BH202" t="str">
            <v>Antonio Rada</v>
          </cell>
          <cell r="BL202">
            <v>1</v>
          </cell>
          <cell r="BN202">
            <v>1</v>
          </cell>
          <cell r="BO202">
            <v>654600</v>
          </cell>
          <cell r="BP202">
            <v>-12200</v>
          </cell>
        </row>
        <row r="203">
          <cell r="B203">
            <v>1113</v>
          </cell>
          <cell r="C203" t="str">
            <v>A2</v>
          </cell>
          <cell r="D203">
            <v>34.9</v>
          </cell>
          <cell r="E203">
            <v>1</v>
          </cell>
          <cell r="G203">
            <v>1.49</v>
          </cell>
          <cell r="H203">
            <v>1</v>
          </cell>
          <cell r="L203" t="str">
            <v>IGUAL</v>
          </cell>
          <cell r="M203" t="str">
            <v>S-4_242</v>
          </cell>
          <cell r="N203" t="str">
            <v>S4_242</v>
          </cell>
          <cell r="O203" t="str">
            <v>S4_170</v>
          </cell>
          <cell r="P203" t="str">
            <v>MISMO SÓTANO</v>
          </cell>
          <cell r="Q203">
            <v>13368.75</v>
          </cell>
          <cell r="R203">
            <v>596148.28700000001</v>
          </cell>
          <cell r="S203">
            <v>651590.07769099995</v>
          </cell>
          <cell r="T203">
            <v>596157.36505032028</v>
          </cell>
          <cell r="U203">
            <v>651600</v>
          </cell>
          <cell r="W203">
            <v>651600</v>
          </cell>
          <cell r="AA203">
            <v>651600</v>
          </cell>
          <cell r="AC203">
            <v>651600</v>
          </cell>
          <cell r="AF203">
            <v>651600</v>
          </cell>
          <cell r="AH203">
            <v>-5961</v>
          </cell>
          <cell r="AI203">
            <v>645639</v>
          </cell>
          <cell r="AN203">
            <v>645639</v>
          </cell>
          <cell r="AO203">
            <v>645700</v>
          </cell>
          <cell r="AP203">
            <v>645639</v>
          </cell>
          <cell r="AQ203">
            <v>64563.9</v>
          </cell>
          <cell r="AR203">
            <v>10000</v>
          </cell>
          <cell r="AS203">
            <v>54563.9</v>
          </cell>
          <cell r="AT203">
            <v>581075.1</v>
          </cell>
          <cell r="AU203">
            <v>3967.8985423552294</v>
          </cell>
          <cell r="AV203">
            <v>310.11937328453791</v>
          </cell>
          <cell r="AW203">
            <v>188.311375</v>
          </cell>
          <cell r="AX203">
            <v>4466.3292906397674</v>
          </cell>
          <cell r="AY203" t="e">
            <v>#REF!</v>
          </cell>
          <cell r="BF203" t="str">
            <v>PCV</v>
          </cell>
          <cell r="BG203" t="str">
            <v>Secretos, S.A.</v>
          </cell>
          <cell r="BH203" t="str">
            <v>Alexander Franco</v>
          </cell>
          <cell r="BL203">
            <v>1</v>
          </cell>
          <cell r="BN203">
            <v>1</v>
          </cell>
          <cell r="BO203">
            <v>645700</v>
          </cell>
          <cell r="BP203">
            <v>-5900</v>
          </cell>
        </row>
        <row r="204">
          <cell r="B204">
            <v>1114</v>
          </cell>
          <cell r="C204" t="str">
            <v>A11</v>
          </cell>
          <cell r="D204">
            <v>41.2</v>
          </cell>
          <cell r="E204">
            <v>1</v>
          </cell>
          <cell r="G204">
            <v>1.71</v>
          </cell>
          <cell r="H204">
            <v>1</v>
          </cell>
          <cell r="L204" t="str">
            <v>IGUAL</v>
          </cell>
          <cell r="M204" t="str">
            <v>S-3_173</v>
          </cell>
          <cell r="N204" t="str">
            <v>S3_173</v>
          </cell>
          <cell r="O204" t="str">
            <v>S3_127</v>
          </cell>
          <cell r="P204" t="str">
            <v>MISMO SÓTANO</v>
          </cell>
          <cell r="Q204">
            <v>12710</v>
          </cell>
          <cell r="R204">
            <v>654645.24800000002</v>
          </cell>
          <cell r="S204">
            <v>715527.25606399996</v>
          </cell>
          <cell r="T204">
            <v>654711.80237877404</v>
          </cell>
          <cell r="U204">
            <v>715600</v>
          </cell>
          <cell r="V204">
            <v>39400</v>
          </cell>
          <cell r="W204">
            <v>755000</v>
          </cell>
          <cell r="AA204">
            <v>755000</v>
          </cell>
          <cell r="AC204">
            <v>755000</v>
          </cell>
          <cell r="AF204">
            <v>755000</v>
          </cell>
          <cell r="AH204">
            <v>-6907.5899999999674</v>
          </cell>
          <cell r="AI204">
            <v>748092.41</v>
          </cell>
          <cell r="AN204">
            <v>748092.41</v>
          </cell>
          <cell r="AO204">
            <v>748100</v>
          </cell>
          <cell r="AP204">
            <v>779786.52</v>
          </cell>
          <cell r="AQ204">
            <v>74809.241000000009</v>
          </cell>
          <cell r="AR204">
            <v>10000</v>
          </cell>
          <cell r="AS204">
            <v>64809.241000000009</v>
          </cell>
          <cell r="AT204">
            <v>673283.16899999999</v>
          </cell>
          <cell r="AU204">
            <v>4597.5456612534417</v>
          </cell>
          <cell r="AV204">
            <v>359.33075503202195</v>
          </cell>
          <cell r="AW204">
            <v>218.19361958333334</v>
          </cell>
          <cell r="AX204">
            <v>5175.0700358687973</v>
          </cell>
          <cell r="AY204" t="e">
            <v>#REF!</v>
          </cell>
          <cell r="BF204" t="str">
            <v>PCV</v>
          </cell>
          <cell r="BG204" t="str">
            <v>Clara Hilda Falla Bianchi</v>
          </cell>
          <cell r="BH204" t="str">
            <v xml:space="preserve">Antonio Rada </v>
          </cell>
          <cell r="BL204">
            <v>1</v>
          </cell>
          <cell r="BN204">
            <v>1</v>
          </cell>
          <cell r="BO204">
            <v>748100</v>
          </cell>
          <cell r="BP204">
            <v>-6900</v>
          </cell>
        </row>
        <row r="205">
          <cell r="B205">
            <v>1115</v>
          </cell>
          <cell r="C205" t="str">
            <v>B4</v>
          </cell>
          <cell r="D205">
            <v>49.77</v>
          </cell>
          <cell r="E205">
            <v>2</v>
          </cell>
          <cell r="F205">
            <v>1</v>
          </cell>
          <cell r="G205">
            <v>1.49</v>
          </cell>
          <cell r="H205">
            <v>1</v>
          </cell>
          <cell r="J205">
            <v>42</v>
          </cell>
          <cell r="K205">
            <v>45</v>
          </cell>
          <cell r="L205" t="str">
            <v>DIFERENTE</v>
          </cell>
          <cell r="M205" t="str">
            <v>S-3_175</v>
          </cell>
          <cell r="N205" t="str">
            <v>S3_175</v>
          </cell>
          <cell r="O205" t="str">
            <v>S3_130</v>
          </cell>
          <cell r="P205" t="str">
            <v>MISMO SÓTANO</v>
          </cell>
          <cell r="Q205">
            <v>13175</v>
          </cell>
          <cell r="R205">
            <v>851442.66200000001</v>
          </cell>
          <cell r="S205">
            <v>930626.82956600003</v>
          </cell>
          <cell r="T205">
            <v>851509.60658737423</v>
          </cell>
          <cell r="U205">
            <v>930700</v>
          </cell>
          <cell r="V205">
            <v>46600</v>
          </cell>
          <cell r="W205">
            <v>977300</v>
          </cell>
          <cell r="AA205">
            <v>977300</v>
          </cell>
          <cell r="AC205">
            <v>977300</v>
          </cell>
          <cell r="AF205">
            <v>977300</v>
          </cell>
          <cell r="AG205">
            <v>146595</v>
          </cell>
          <cell r="AH205">
            <v>18735.204771009972</v>
          </cell>
          <cell r="AI205">
            <v>1142630.20477101</v>
          </cell>
          <cell r="AN205">
            <v>1142630.20477101</v>
          </cell>
          <cell r="AO205">
            <v>1142700</v>
          </cell>
          <cell r="AP205">
            <v>1142630</v>
          </cell>
          <cell r="AQ205">
            <v>114263.020477101</v>
          </cell>
          <cell r="AR205">
            <v>10000</v>
          </cell>
          <cell r="AS205">
            <v>104263.020477101</v>
          </cell>
          <cell r="AT205">
            <v>1028367.184293909</v>
          </cell>
          <cell r="AU205">
            <v>7022.253494540987</v>
          </cell>
          <cell r="AV205">
            <v>548.83884492660593</v>
          </cell>
          <cell r="AW205">
            <v>333.26714305821127</v>
          </cell>
          <cell r="AX205">
            <v>7904.3594825258042</v>
          </cell>
          <cell r="AY205" t="e">
            <v>#REF!</v>
          </cell>
          <cell r="BF205" t="str">
            <v>PCV</v>
          </cell>
          <cell r="BG205" t="str">
            <v>Eddy Francisco  Macintosh Lopez</v>
          </cell>
          <cell r="BH205" t="str">
            <v xml:space="preserve">Antonio Rada </v>
          </cell>
          <cell r="BI205">
            <v>45755</v>
          </cell>
          <cell r="BL205" t="str">
            <v>WhatsApp</v>
          </cell>
          <cell r="BN205">
            <v>1</v>
          </cell>
          <cell r="BO205">
            <v>977300</v>
          </cell>
          <cell r="BP205">
            <v>0</v>
          </cell>
        </row>
        <row r="206">
          <cell r="B206">
            <v>1116</v>
          </cell>
          <cell r="C206" t="str">
            <v>B3</v>
          </cell>
          <cell r="D206">
            <v>48.96</v>
          </cell>
          <cell r="E206">
            <v>2</v>
          </cell>
          <cell r="G206">
            <v>1.26</v>
          </cell>
          <cell r="H206">
            <v>1</v>
          </cell>
          <cell r="L206" t="str">
            <v>IGUAL</v>
          </cell>
          <cell r="M206" t="str">
            <v>S-2_46</v>
          </cell>
          <cell r="N206" t="str">
            <v>S2_46</v>
          </cell>
          <cell r="O206" t="str">
            <v>S2_23</v>
          </cell>
          <cell r="P206" t="str">
            <v>MISMO SÓTANO</v>
          </cell>
          <cell r="Q206">
            <v>13175</v>
          </cell>
          <cell r="R206">
            <v>773148.28799999994</v>
          </cell>
          <cell r="S206">
            <v>845051.0787839999</v>
          </cell>
          <cell r="T206">
            <v>773193.04666056728</v>
          </cell>
          <cell r="U206">
            <v>845100</v>
          </cell>
          <cell r="V206">
            <v>42300</v>
          </cell>
          <cell r="W206">
            <v>887400</v>
          </cell>
          <cell r="AA206">
            <v>887400</v>
          </cell>
          <cell r="AC206">
            <v>887400</v>
          </cell>
          <cell r="AF206">
            <v>887400</v>
          </cell>
          <cell r="AH206">
            <v>0</v>
          </cell>
          <cell r="AI206">
            <v>887400</v>
          </cell>
          <cell r="AN206">
            <v>887400</v>
          </cell>
          <cell r="AO206">
            <v>887400</v>
          </cell>
          <cell r="AP206">
            <v>887400</v>
          </cell>
          <cell r="AQ206">
            <v>88740</v>
          </cell>
          <cell r="AR206">
            <v>10000</v>
          </cell>
          <cell r="AS206">
            <v>78740</v>
          </cell>
          <cell r="AT206">
            <v>798660</v>
          </cell>
          <cell r="AU206">
            <v>5453.6872253473384</v>
          </cell>
          <cell r="AV206">
            <v>426.24428179322962</v>
          </cell>
          <cell r="AW206">
            <v>258.82499999999999</v>
          </cell>
          <cell r="AX206">
            <v>6138.7565071405679</v>
          </cell>
          <cell r="AY206" t="e">
            <v>#REF!</v>
          </cell>
          <cell r="BF206" t="str">
            <v>PCV</v>
          </cell>
          <cell r="BG206" t="str">
            <v>Francisco Javier Arriaza</v>
          </cell>
          <cell r="BH206" t="str">
            <v>Antonio Rada</v>
          </cell>
          <cell r="BL206">
            <v>1</v>
          </cell>
          <cell r="BN206">
            <v>1</v>
          </cell>
          <cell r="BO206">
            <v>887400</v>
          </cell>
          <cell r="BP206">
            <v>0</v>
          </cell>
        </row>
        <row r="207">
          <cell r="B207">
            <v>1117</v>
          </cell>
          <cell r="C207" t="str">
            <v>D10</v>
          </cell>
          <cell r="D207">
            <v>59.8</v>
          </cell>
          <cell r="E207">
            <v>3</v>
          </cell>
          <cell r="F207">
            <v>1</v>
          </cell>
          <cell r="G207">
            <v>1.26</v>
          </cell>
          <cell r="I207">
            <v>1</v>
          </cell>
          <cell r="J207">
            <v>94</v>
          </cell>
          <cell r="K207">
            <v>96</v>
          </cell>
          <cell r="L207" t="str">
            <v>DIFERENTE</v>
          </cell>
          <cell r="M207" t="str">
            <v>S-4_310-311</v>
          </cell>
          <cell r="N207" t="str">
            <v>S4_310-311</v>
          </cell>
          <cell r="O207" t="str">
            <v>S4_220</v>
          </cell>
          <cell r="P207" t="str">
            <v>MISMO SÓTANO</v>
          </cell>
          <cell r="Q207">
            <v>12710</v>
          </cell>
          <cell r="R207">
            <v>1050302.2879999999</v>
          </cell>
          <cell r="S207">
            <v>1147980.4007839998</v>
          </cell>
          <cell r="T207">
            <v>1050320.21957914</v>
          </cell>
          <cell r="U207">
            <v>1148000</v>
          </cell>
          <cell r="V207">
            <v>28700</v>
          </cell>
          <cell r="W207">
            <v>1176700</v>
          </cell>
          <cell r="AA207">
            <v>1176700</v>
          </cell>
          <cell r="AC207">
            <v>1176700</v>
          </cell>
          <cell r="AF207">
            <v>1176700</v>
          </cell>
          <cell r="AH207">
            <v>-10765.780000000028</v>
          </cell>
          <cell r="AI207">
            <v>1165934.22</v>
          </cell>
          <cell r="AN207">
            <v>1165934.22</v>
          </cell>
          <cell r="AO207">
            <v>1166000</v>
          </cell>
          <cell r="AP207">
            <v>1165934.22</v>
          </cell>
          <cell r="AQ207">
            <v>116593.42200000001</v>
          </cell>
          <cell r="AR207">
            <v>10000</v>
          </cell>
          <cell r="AS207">
            <v>106593.42200000001</v>
          </cell>
          <cell r="AT207">
            <v>1049340.798</v>
          </cell>
          <cell r="AU207">
            <v>7165.4727982976256</v>
          </cell>
          <cell r="AV207">
            <v>560.03244784995411</v>
          </cell>
          <cell r="AW207">
            <v>340.06414749999999</v>
          </cell>
          <cell r="AX207">
            <v>8065.56939364758</v>
          </cell>
          <cell r="AY207" t="e">
            <v>#REF!</v>
          </cell>
          <cell r="BF207" t="str">
            <v>PCV</v>
          </cell>
          <cell r="BG207" t="str">
            <v>Jerson Leonel Chavez Martinez</v>
          </cell>
          <cell r="BH207" t="str">
            <v>Antonio Rada</v>
          </cell>
          <cell r="BL207">
            <v>1</v>
          </cell>
          <cell r="BN207">
            <v>1</v>
          </cell>
          <cell r="BO207">
            <v>1176700</v>
          </cell>
          <cell r="BP207">
            <v>0</v>
          </cell>
        </row>
        <row r="208">
          <cell r="B208">
            <v>1118</v>
          </cell>
          <cell r="C208" t="str">
            <v>D11</v>
          </cell>
          <cell r="D208">
            <v>60.09</v>
          </cell>
          <cell r="E208">
            <v>3</v>
          </cell>
          <cell r="F208">
            <v>1</v>
          </cell>
          <cell r="G208">
            <v>1.26</v>
          </cell>
          <cell r="I208">
            <v>1</v>
          </cell>
          <cell r="J208">
            <v>95</v>
          </cell>
          <cell r="K208">
            <v>97</v>
          </cell>
          <cell r="L208" t="str">
            <v>DIFERENTE</v>
          </cell>
          <cell r="M208" t="str">
            <v>S-4_312-313</v>
          </cell>
          <cell r="N208" t="str">
            <v>S4_312-313</v>
          </cell>
          <cell r="O208" t="str">
            <v>S4_221</v>
          </cell>
          <cell r="P208" t="str">
            <v>MISMO SÓTANO</v>
          </cell>
          <cell r="Q208">
            <v>12710</v>
          </cell>
          <cell r="R208">
            <v>1053988.1880000001</v>
          </cell>
          <cell r="S208">
            <v>1152009.0894840001</v>
          </cell>
          <cell r="T208">
            <v>1054071.363220494</v>
          </cell>
          <cell r="U208">
            <v>1152100</v>
          </cell>
          <cell r="V208">
            <v>28900</v>
          </cell>
          <cell r="W208">
            <v>1181000</v>
          </cell>
          <cell r="AA208">
            <v>1181000</v>
          </cell>
          <cell r="AC208">
            <v>1181000</v>
          </cell>
          <cell r="AF208">
            <v>1181000</v>
          </cell>
          <cell r="AH208">
            <v>0</v>
          </cell>
          <cell r="AI208">
            <v>1181000</v>
          </cell>
          <cell r="AN208">
            <v>1181000</v>
          </cell>
          <cell r="AO208">
            <v>1181000</v>
          </cell>
          <cell r="AP208">
            <v>1181000</v>
          </cell>
          <cell r="AQ208">
            <v>118100</v>
          </cell>
          <cell r="AR208">
            <v>10000</v>
          </cell>
          <cell r="AS208">
            <v>108100</v>
          </cell>
          <cell r="AT208">
            <v>1062900</v>
          </cell>
          <cell r="AU208">
            <v>7258.0624443714305</v>
          </cell>
          <cell r="AV208">
            <v>567.26898444647748</v>
          </cell>
          <cell r="AW208">
            <v>344.45833333333331</v>
          </cell>
          <cell r="AX208">
            <v>8169.7897621512411</v>
          </cell>
          <cell r="AY208" t="e">
            <v>#REF!</v>
          </cell>
          <cell r="BF208" t="str">
            <v>PCV</v>
          </cell>
          <cell r="BG208" t="str">
            <v>Jose Raul Velasco Ferrigno</v>
          </cell>
          <cell r="BH208" t="str">
            <v xml:space="preserve">Antonio Rada </v>
          </cell>
          <cell r="BL208">
            <v>1</v>
          </cell>
          <cell r="BN208">
            <v>1</v>
          </cell>
          <cell r="BO208">
            <v>1181000</v>
          </cell>
          <cell r="BP208">
            <v>0</v>
          </cell>
        </row>
        <row r="209">
          <cell r="B209">
            <v>1201</v>
          </cell>
          <cell r="C209" t="str">
            <v>D4</v>
          </cell>
          <cell r="D209">
            <v>65.09</v>
          </cell>
          <cell r="E209">
            <v>3</v>
          </cell>
          <cell r="F209">
            <v>1</v>
          </cell>
          <cell r="G209">
            <v>1.49</v>
          </cell>
          <cell r="I209">
            <v>1</v>
          </cell>
          <cell r="J209">
            <v>65</v>
          </cell>
          <cell r="K209">
            <v>68</v>
          </cell>
          <cell r="L209" t="str">
            <v>DIFERENTE</v>
          </cell>
          <cell r="M209" t="str">
            <v>S-3_218-219</v>
          </cell>
          <cell r="N209" t="str">
            <v>S3_218-219</v>
          </cell>
          <cell r="O209" t="str">
            <v>S3_153</v>
          </cell>
          <cell r="P209" t="str">
            <v>MISMO SÓTANO</v>
          </cell>
          <cell r="Q209">
            <v>12710</v>
          </cell>
          <cell r="R209">
            <v>1119016.8119999999</v>
          </cell>
          <cell r="S209">
            <v>1223085.375516</v>
          </cell>
          <cell r="T209">
            <v>1119030.1921317475</v>
          </cell>
          <cell r="U209">
            <v>1223100</v>
          </cell>
          <cell r="V209">
            <v>30600</v>
          </cell>
          <cell r="W209">
            <v>1253700</v>
          </cell>
          <cell r="AA209">
            <v>1253700</v>
          </cell>
          <cell r="AC209">
            <v>1253700</v>
          </cell>
          <cell r="AF209">
            <v>1253700</v>
          </cell>
          <cell r="AH209">
            <v>0</v>
          </cell>
          <cell r="AI209">
            <v>1253700</v>
          </cell>
          <cell r="AN209">
            <v>1253700</v>
          </cell>
          <cell r="AO209">
            <v>1253700</v>
          </cell>
          <cell r="AP209">
            <v>1253700</v>
          </cell>
          <cell r="AQ209">
            <v>125370</v>
          </cell>
          <cell r="AR209">
            <v>10000</v>
          </cell>
          <cell r="AS209">
            <v>115370</v>
          </cell>
          <cell r="AT209">
            <v>1128330</v>
          </cell>
          <cell r="AU209">
            <v>7704.854264613432</v>
          </cell>
          <cell r="AV209">
            <v>602.18892955169247</v>
          </cell>
          <cell r="AW209">
            <v>365.66249999999997</v>
          </cell>
          <cell r="AX209">
            <v>8672.7056941651244</v>
          </cell>
          <cell r="AY209" t="e">
            <v>#REF!</v>
          </cell>
          <cell r="BF209" t="str">
            <v>PCV</v>
          </cell>
          <cell r="BG209" t="str">
            <v>Rogelio Alejandro Ochoa Hernandez</v>
          </cell>
          <cell r="BH209" t="str">
            <v xml:space="preserve">Antonio Rada </v>
          </cell>
          <cell r="BL209">
            <v>1</v>
          </cell>
          <cell r="BN209">
            <v>1</v>
          </cell>
          <cell r="BO209">
            <v>1253700</v>
          </cell>
          <cell r="BP209">
            <v>0</v>
          </cell>
        </row>
        <row r="210">
          <cell r="B210">
            <v>1202</v>
          </cell>
          <cell r="C210" t="str">
            <v>D1</v>
          </cell>
          <cell r="D210">
            <v>64.959999999999994</v>
          </cell>
          <cell r="E210">
            <v>3</v>
          </cell>
          <cell r="F210">
            <v>1</v>
          </cell>
          <cell r="G210">
            <v>3.38</v>
          </cell>
          <cell r="I210">
            <v>1</v>
          </cell>
          <cell r="J210">
            <v>66</v>
          </cell>
          <cell r="K210">
            <v>69</v>
          </cell>
          <cell r="L210" t="str">
            <v>DIFERENTE</v>
          </cell>
          <cell r="M210" t="str">
            <v>S-3_220-221</v>
          </cell>
          <cell r="N210" t="str">
            <v>S3_220-221</v>
          </cell>
          <cell r="O210" t="str">
            <v>S3_154</v>
          </cell>
          <cell r="P210" t="str">
            <v>MISMO SÓTANO</v>
          </cell>
          <cell r="Q210">
            <v>12710</v>
          </cell>
          <cell r="R210">
            <v>1129514.9440000001</v>
          </cell>
          <cell r="S210">
            <v>1234559.8337920001</v>
          </cell>
          <cell r="T210">
            <v>1129551.6925892041</v>
          </cell>
          <cell r="U210">
            <v>1234600</v>
          </cell>
          <cell r="V210">
            <v>30900</v>
          </cell>
          <cell r="W210">
            <v>1265500</v>
          </cell>
          <cell r="AA210">
            <v>1265500</v>
          </cell>
          <cell r="AC210">
            <v>1265500</v>
          </cell>
          <cell r="AF210">
            <v>1265500</v>
          </cell>
          <cell r="AH210">
            <v>0</v>
          </cell>
          <cell r="AI210">
            <v>1265500</v>
          </cell>
          <cell r="AN210">
            <v>1265500</v>
          </cell>
          <cell r="AO210">
            <v>1265500</v>
          </cell>
          <cell r="AP210">
            <v>1265500</v>
          </cell>
          <cell r="AQ210">
            <v>126550</v>
          </cell>
          <cell r="AR210">
            <v>10000</v>
          </cell>
          <cell r="AS210">
            <v>116550</v>
          </cell>
          <cell r="AT210">
            <v>1138950</v>
          </cell>
          <cell r="AU210">
            <v>7777.3734321355169</v>
          </cell>
          <cell r="AV210">
            <v>607.85681610247013</v>
          </cell>
          <cell r="AW210">
            <v>369.10416666666669</v>
          </cell>
          <cell r="AX210">
            <v>8754.3344149046534</v>
          </cell>
          <cell r="AY210" t="e">
            <v>#REF!</v>
          </cell>
          <cell r="BF210" t="str">
            <v>PCV</v>
          </cell>
          <cell r="BG210" t="str">
            <v>Edwin Steven Quiroa Sitamul</v>
          </cell>
          <cell r="BH210" t="str">
            <v>Antonio Rada</v>
          </cell>
          <cell r="BL210">
            <v>1</v>
          </cell>
          <cell r="BN210">
            <v>1</v>
          </cell>
          <cell r="BO210">
            <v>1265500</v>
          </cell>
          <cell r="BP210">
            <v>0</v>
          </cell>
        </row>
        <row r="211">
          <cell r="B211">
            <v>1203</v>
          </cell>
          <cell r="C211" t="str">
            <v>B4</v>
          </cell>
          <cell r="D211">
            <v>49.77</v>
          </cell>
          <cell r="E211">
            <v>2</v>
          </cell>
          <cell r="G211">
            <v>1.49</v>
          </cell>
          <cell r="H211">
            <v>1</v>
          </cell>
          <cell r="L211" t="str">
            <v>IGUAL</v>
          </cell>
          <cell r="M211" t="str">
            <v>S-2_47</v>
          </cell>
          <cell r="N211" t="str">
            <v>S2_47</v>
          </cell>
          <cell r="O211" t="str">
            <v>S2_24</v>
          </cell>
          <cell r="P211" t="str">
            <v>MISMO SÓTANO</v>
          </cell>
          <cell r="Q211">
            <v>13175</v>
          </cell>
          <cell r="R211">
            <v>785298.66200000001</v>
          </cell>
          <cell r="S211">
            <v>858331.43756600004</v>
          </cell>
          <cell r="T211">
            <v>785361.39066788659</v>
          </cell>
          <cell r="U211">
            <v>858400</v>
          </cell>
          <cell r="V211">
            <v>43000</v>
          </cell>
          <cell r="W211">
            <v>901400</v>
          </cell>
          <cell r="AA211">
            <v>901400</v>
          </cell>
          <cell r="AC211">
            <v>901400</v>
          </cell>
          <cell r="AF211">
            <v>901400</v>
          </cell>
          <cell r="AH211">
            <v>0</v>
          </cell>
          <cell r="AI211">
            <v>901400</v>
          </cell>
          <cell r="AN211">
            <v>901400</v>
          </cell>
          <cell r="AO211">
            <v>901400</v>
          </cell>
          <cell r="AP211">
            <v>901400</v>
          </cell>
          <cell r="AQ211">
            <v>90140</v>
          </cell>
          <cell r="AR211">
            <v>10000</v>
          </cell>
          <cell r="AS211">
            <v>80140</v>
          </cell>
          <cell r="AT211">
            <v>811260</v>
          </cell>
          <cell r="AU211">
            <v>5539.7269156277798</v>
          </cell>
          <cell r="AV211">
            <v>432.96889295516917</v>
          </cell>
          <cell r="AW211">
            <v>262.90833333333336</v>
          </cell>
          <cell r="AX211">
            <v>6235.604141916283</v>
          </cell>
          <cell r="AY211" t="e">
            <v>#REF!</v>
          </cell>
          <cell r="BF211" t="str">
            <v>PCV</v>
          </cell>
          <cell r="BG211" t="str">
            <v>Allan Vinicio Velasquez León</v>
          </cell>
          <cell r="BH211" t="str">
            <v>Antonio Rada</v>
          </cell>
          <cell r="BL211">
            <v>1</v>
          </cell>
          <cell r="BM211">
            <v>1</v>
          </cell>
          <cell r="BN211">
            <v>1</v>
          </cell>
          <cell r="BO211">
            <v>901400</v>
          </cell>
          <cell r="BP211">
            <v>0</v>
          </cell>
        </row>
        <row r="212">
          <cell r="B212">
            <v>1204</v>
          </cell>
          <cell r="C212" t="str">
            <v>B3</v>
          </cell>
          <cell r="D212">
            <v>48.96</v>
          </cell>
          <cell r="E212">
            <v>2</v>
          </cell>
          <cell r="G212">
            <v>1.26</v>
          </cell>
          <cell r="H212">
            <v>1</v>
          </cell>
          <cell r="L212" t="str">
            <v>IGUAL</v>
          </cell>
          <cell r="M212" t="str">
            <v>S-2_48</v>
          </cell>
          <cell r="N212" t="str">
            <v>S2_48</v>
          </cell>
          <cell r="O212" t="str">
            <v>S2_25</v>
          </cell>
          <cell r="P212" t="str">
            <v>MISMO SÓTANO</v>
          </cell>
          <cell r="Q212">
            <v>13175</v>
          </cell>
          <cell r="R212">
            <v>773148.28799999994</v>
          </cell>
          <cell r="S212">
            <v>845051.0787839999</v>
          </cell>
          <cell r="T212">
            <v>773193.04666056728</v>
          </cell>
          <cell r="U212">
            <v>845100</v>
          </cell>
          <cell r="V212">
            <v>42300</v>
          </cell>
          <cell r="W212">
            <v>887400</v>
          </cell>
          <cell r="AA212">
            <v>887400</v>
          </cell>
          <cell r="AC212">
            <v>887400</v>
          </cell>
          <cell r="AF212">
            <v>887400</v>
          </cell>
          <cell r="AH212">
            <v>0</v>
          </cell>
          <cell r="AI212">
            <v>887400</v>
          </cell>
          <cell r="AN212">
            <v>887400</v>
          </cell>
          <cell r="AO212">
            <v>887400</v>
          </cell>
          <cell r="AP212">
            <v>887400</v>
          </cell>
          <cell r="AQ212">
            <v>88740</v>
          </cell>
          <cell r="AR212">
            <v>10000</v>
          </cell>
          <cell r="AS212">
            <v>78740</v>
          </cell>
          <cell r="AT212">
            <v>798660</v>
          </cell>
          <cell r="AU212">
            <v>5453.6872253473384</v>
          </cell>
          <cell r="AV212">
            <v>426.24428179322962</v>
          </cell>
          <cell r="AW212">
            <v>258.82499999999999</v>
          </cell>
          <cell r="AX212">
            <v>6138.7565071405679</v>
          </cell>
          <cell r="AY212" t="e">
            <v>#REF!</v>
          </cell>
          <cell r="BF212" t="str">
            <v>PCV</v>
          </cell>
          <cell r="BG212" t="str">
            <v>Josselin Alejandra Turcios Orantes</v>
          </cell>
          <cell r="BH212" t="str">
            <v>Antonio Rada</v>
          </cell>
          <cell r="BL212">
            <v>1</v>
          </cell>
          <cell r="BN212">
            <v>1</v>
          </cell>
          <cell r="BO212">
            <v>887400</v>
          </cell>
          <cell r="BP212">
            <v>0</v>
          </cell>
        </row>
        <row r="213">
          <cell r="B213">
            <v>1205</v>
          </cell>
          <cell r="C213" t="str">
            <v>A6</v>
          </cell>
          <cell r="D213">
            <v>35.69</v>
          </cell>
          <cell r="E213">
            <v>1</v>
          </cell>
          <cell r="G213">
            <v>1.49</v>
          </cell>
          <cell r="H213">
            <v>1</v>
          </cell>
          <cell r="L213" t="str">
            <v>IGUAL</v>
          </cell>
          <cell r="M213" t="str">
            <v>S-4_243</v>
          </cell>
          <cell r="N213" t="str">
            <v>S4_243</v>
          </cell>
          <cell r="O213" t="str">
            <v>S4_171</v>
          </cell>
          <cell r="P213" t="str">
            <v>MISMO SÓTANO</v>
          </cell>
          <cell r="Q213">
            <v>13368.75</v>
          </cell>
          <cell r="R213">
            <v>606709.59950000001</v>
          </cell>
          <cell r="S213">
            <v>663133.59225350001</v>
          </cell>
          <cell r="T213">
            <v>606770.35681610252</v>
          </cell>
          <cell r="U213">
            <v>663200</v>
          </cell>
          <cell r="W213">
            <v>663200</v>
          </cell>
          <cell r="AA213">
            <v>663200</v>
          </cell>
          <cell r="AC213">
            <v>663200</v>
          </cell>
          <cell r="AF213">
            <v>663200</v>
          </cell>
          <cell r="AH213">
            <v>0</v>
          </cell>
          <cell r="AI213">
            <v>663200</v>
          </cell>
          <cell r="AN213">
            <v>663200</v>
          </cell>
          <cell r="AO213">
            <v>663200</v>
          </cell>
          <cell r="AP213">
            <v>663200</v>
          </cell>
          <cell r="AQ213">
            <v>66320</v>
          </cell>
          <cell r="AR213">
            <v>10000</v>
          </cell>
          <cell r="AS213">
            <v>56320</v>
          </cell>
          <cell r="AT213">
            <v>596880</v>
          </cell>
          <cell r="AU213">
            <v>4075.8230424277158</v>
          </cell>
          <cell r="AV213">
            <v>318.55443732845373</v>
          </cell>
          <cell r="AW213">
            <v>193.43333333333337</v>
          </cell>
          <cell r="AX213">
            <v>4587.8108130895025</v>
          </cell>
          <cell r="AY213" t="e">
            <v>#REF!</v>
          </cell>
          <cell r="BF213" t="str">
            <v>PCV</v>
          </cell>
          <cell r="BG213" t="str">
            <v>Nicolle Mansilla</v>
          </cell>
          <cell r="BH213" t="str">
            <v>Antonio Rada</v>
          </cell>
          <cell r="BL213">
            <v>1</v>
          </cell>
          <cell r="BM213">
            <v>1</v>
          </cell>
          <cell r="BN213">
            <v>1</v>
          </cell>
          <cell r="BO213">
            <v>663200</v>
          </cell>
          <cell r="BP213">
            <v>0</v>
          </cell>
        </row>
        <row r="214">
          <cell r="B214">
            <v>1206</v>
          </cell>
          <cell r="C214" t="str">
            <v>A4</v>
          </cell>
          <cell r="D214">
            <v>35.549999999999997</v>
          </cell>
          <cell r="E214">
            <v>1</v>
          </cell>
          <cell r="G214">
            <v>1.49</v>
          </cell>
          <cell r="H214">
            <v>1</v>
          </cell>
          <cell r="L214" t="str">
            <v>IGUAL</v>
          </cell>
          <cell r="M214" t="str">
            <v>S-4_244</v>
          </cell>
          <cell r="N214" t="str">
            <v>S4_244</v>
          </cell>
          <cell r="O214" t="str">
            <v>S4_172</v>
          </cell>
          <cell r="P214" t="str">
            <v>MISMO SÓTANO</v>
          </cell>
          <cell r="Q214">
            <v>13368.75</v>
          </cell>
          <cell r="R214">
            <v>604837.97450000001</v>
          </cell>
          <cell r="S214">
            <v>661087.90612850001</v>
          </cell>
          <cell r="T214">
            <v>604849.03934126254</v>
          </cell>
          <cell r="U214">
            <v>661100</v>
          </cell>
          <cell r="V214">
            <v>36400</v>
          </cell>
          <cell r="W214">
            <v>697500</v>
          </cell>
          <cell r="AA214">
            <v>697500</v>
          </cell>
          <cell r="AC214">
            <v>697500</v>
          </cell>
          <cell r="AF214">
            <v>697500</v>
          </cell>
          <cell r="AH214">
            <v>-6381.5100000000093</v>
          </cell>
          <cell r="AI214">
            <v>691118.49</v>
          </cell>
          <cell r="AN214">
            <v>691118.49</v>
          </cell>
          <cell r="AO214">
            <v>691200</v>
          </cell>
          <cell r="AP214">
            <v>691118.49</v>
          </cell>
          <cell r="AQ214">
            <v>69111.849000000002</v>
          </cell>
          <cell r="AR214">
            <v>10000</v>
          </cell>
          <cell r="AS214">
            <v>59111.849000000002</v>
          </cell>
          <cell r="AT214">
            <v>622006.64099999995</v>
          </cell>
          <cell r="AU214">
            <v>4247.4014876203992</v>
          </cell>
          <cell r="AV214">
            <v>331.96450800548945</v>
          </cell>
          <cell r="AW214">
            <v>201.57622624999999</v>
          </cell>
          <cell r="AX214">
            <v>4780.9422218758891</v>
          </cell>
          <cell r="AY214" t="e">
            <v>#REF!</v>
          </cell>
          <cell r="BF214" t="str">
            <v>PCV</v>
          </cell>
          <cell r="BG214" t="str">
            <v xml:space="preserve">Juan José Silva Pacheco </v>
          </cell>
          <cell r="BH214" t="str">
            <v>Alexander Franco</v>
          </cell>
          <cell r="BL214">
            <v>1</v>
          </cell>
          <cell r="BN214">
            <v>1</v>
          </cell>
          <cell r="BO214">
            <v>697500</v>
          </cell>
          <cell r="BP214">
            <v>0</v>
          </cell>
        </row>
        <row r="215">
          <cell r="B215">
            <v>1207</v>
          </cell>
          <cell r="C215" t="str">
            <v>A12</v>
          </cell>
          <cell r="D215">
            <v>37.17</v>
          </cell>
          <cell r="E215">
            <v>1</v>
          </cell>
          <cell r="G215">
            <v>1.55</v>
          </cell>
          <cell r="H215">
            <v>1</v>
          </cell>
          <cell r="L215" t="str">
            <v>IGUAL</v>
          </cell>
          <cell r="M215" t="str">
            <v>S-4_245</v>
          </cell>
          <cell r="N215" t="str">
            <v>S4_245</v>
          </cell>
          <cell r="O215" t="str">
            <v>S4_173</v>
          </cell>
          <cell r="P215" t="str">
            <v>MISMO SÓTANO</v>
          </cell>
          <cell r="Q215">
            <v>13368.75</v>
          </cell>
          <cell r="R215">
            <v>626881.07750000001</v>
          </cell>
          <cell r="S215">
            <v>685181.01770750002</v>
          </cell>
          <cell r="T215">
            <v>626898.4446477585</v>
          </cell>
          <cell r="U215">
            <v>685200</v>
          </cell>
          <cell r="W215">
            <v>685200</v>
          </cell>
          <cell r="AA215">
            <v>685200</v>
          </cell>
          <cell r="AC215">
            <v>685200</v>
          </cell>
          <cell r="AF215">
            <v>685200</v>
          </cell>
          <cell r="AH215">
            <v>-6268</v>
          </cell>
          <cell r="AI215">
            <v>678932</v>
          </cell>
          <cell r="AN215">
            <v>678932</v>
          </cell>
          <cell r="AO215">
            <v>679000</v>
          </cell>
          <cell r="AP215">
            <v>678932</v>
          </cell>
          <cell r="AQ215">
            <v>67893.2</v>
          </cell>
          <cell r="AR215">
            <v>10000</v>
          </cell>
          <cell r="AS215">
            <v>57893.2</v>
          </cell>
          <cell r="AT215">
            <v>611038.80000000005</v>
          </cell>
          <cell r="AU215">
            <v>4172.507071534279</v>
          </cell>
          <cell r="AV215">
            <v>326.11097895699908</v>
          </cell>
          <cell r="AW215">
            <v>198.02183333333335</v>
          </cell>
          <cell r="AX215">
            <v>4696.6398838246114</v>
          </cell>
          <cell r="AY215" t="e">
            <v>#REF!</v>
          </cell>
          <cell r="BF215" t="str">
            <v>PCV</v>
          </cell>
          <cell r="BG215" t="str">
            <v>David Arimany</v>
          </cell>
          <cell r="BH215" t="str">
            <v>Alexander Franco</v>
          </cell>
          <cell r="BJ215">
            <v>1</v>
          </cell>
          <cell r="BN215">
            <v>1</v>
          </cell>
          <cell r="BO215">
            <v>679000</v>
          </cell>
          <cell r="BP215">
            <v>-6200</v>
          </cell>
        </row>
        <row r="216">
          <cell r="B216">
            <v>1208</v>
          </cell>
          <cell r="C216" t="str">
            <v>C6</v>
          </cell>
          <cell r="D216">
            <v>55</v>
          </cell>
          <cell r="E216">
            <v>2</v>
          </cell>
          <cell r="F216">
            <v>1</v>
          </cell>
          <cell r="G216">
            <v>1.45</v>
          </cell>
          <cell r="I216">
            <v>1</v>
          </cell>
          <cell r="J216">
            <v>96</v>
          </cell>
          <cell r="K216">
            <v>98</v>
          </cell>
          <cell r="L216" t="str">
            <v>DIFERENTE</v>
          </cell>
          <cell r="M216" t="str">
            <v>S-4_314-315</v>
          </cell>
          <cell r="N216" t="str">
            <v>S4_314-315</v>
          </cell>
          <cell r="O216" t="str">
            <v>S4_222</v>
          </cell>
          <cell r="P216" t="str">
            <v>MISMO SÓTANO</v>
          </cell>
          <cell r="Q216">
            <v>13175</v>
          </cell>
          <cell r="R216">
            <v>1016090.76</v>
          </cell>
          <cell r="S216">
            <v>1110587.20068</v>
          </cell>
          <cell r="T216">
            <v>1016102.4702653248</v>
          </cell>
          <cell r="U216">
            <v>1110600</v>
          </cell>
          <cell r="V216">
            <v>55600</v>
          </cell>
          <cell r="W216">
            <v>1166200</v>
          </cell>
          <cell r="AA216">
            <v>1166200</v>
          </cell>
          <cell r="AC216">
            <v>1166200</v>
          </cell>
          <cell r="AF216">
            <v>1166200</v>
          </cell>
          <cell r="AH216">
            <v>-55600</v>
          </cell>
          <cell r="AI216">
            <v>1110600</v>
          </cell>
          <cell r="AN216">
            <v>1110600</v>
          </cell>
          <cell r="AO216">
            <v>1110600</v>
          </cell>
          <cell r="AP216">
            <v>1110600</v>
          </cell>
          <cell r="AQ216">
            <v>111060</v>
          </cell>
          <cell r="AR216">
            <v>10000</v>
          </cell>
          <cell r="AS216">
            <v>101060</v>
          </cell>
          <cell r="AT216">
            <v>999540</v>
          </cell>
          <cell r="AU216">
            <v>6825.4057161040737</v>
          </cell>
          <cell r="AV216">
            <v>533.4537968892954</v>
          </cell>
          <cell r="AW216">
            <v>323.92500000000001</v>
          </cell>
          <cell r="AX216">
            <v>7682.7845129933694</v>
          </cell>
          <cell r="AY216" t="e">
            <v>#REF!</v>
          </cell>
          <cell r="BF216" t="str">
            <v>PCV</v>
          </cell>
          <cell r="BG216" t="str">
            <v>JMX Inversiones</v>
          </cell>
          <cell r="BH216" t="str">
            <v>Antonio Rada</v>
          </cell>
          <cell r="BL216">
            <v>1</v>
          </cell>
          <cell r="BN216">
            <v>1</v>
          </cell>
          <cell r="BO216">
            <v>1166200</v>
          </cell>
          <cell r="BP216">
            <v>0</v>
          </cell>
        </row>
        <row r="217">
          <cell r="B217">
            <v>1209</v>
          </cell>
          <cell r="C217" t="str">
            <v>C5</v>
          </cell>
          <cell r="D217">
            <v>54.86</v>
          </cell>
          <cell r="E217">
            <v>2</v>
          </cell>
          <cell r="F217">
            <v>1</v>
          </cell>
          <cell r="G217">
            <v>1.45</v>
          </cell>
          <cell r="I217">
            <v>1</v>
          </cell>
          <cell r="J217">
            <v>97</v>
          </cell>
          <cell r="K217">
            <v>99</v>
          </cell>
          <cell r="L217" t="str">
            <v>DIFERENTE</v>
          </cell>
          <cell r="M217" t="str">
            <v>S-4_316-317</v>
          </cell>
          <cell r="N217" t="str">
            <v>S4_316-317</v>
          </cell>
          <cell r="O217" t="str">
            <v>S4_223</v>
          </cell>
          <cell r="P217" t="str">
            <v>MISMO SÓTANO</v>
          </cell>
          <cell r="Q217">
            <v>13175</v>
          </cell>
          <cell r="R217">
            <v>1014246.26</v>
          </cell>
          <cell r="S217">
            <v>1108571.16218</v>
          </cell>
          <cell r="T217">
            <v>1014272.6440988106</v>
          </cell>
          <cell r="U217">
            <v>1108600</v>
          </cell>
          <cell r="W217">
            <v>1108600</v>
          </cell>
          <cell r="AA217">
            <v>1108600</v>
          </cell>
          <cell r="AC217">
            <v>1108600</v>
          </cell>
          <cell r="AF217">
            <v>1108600</v>
          </cell>
          <cell r="AH217">
            <v>0</v>
          </cell>
          <cell r="AI217">
            <v>1108600</v>
          </cell>
          <cell r="AN217">
            <v>1108600</v>
          </cell>
          <cell r="AO217">
            <v>1108600</v>
          </cell>
          <cell r="AP217">
            <v>1108600</v>
          </cell>
          <cell r="AQ217">
            <v>110860</v>
          </cell>
          <cell r="AR217">
            <v>10000</v>
          </cell>
          <cell r="AS217">
            <v>100860</v>
          </cell>
          <cell r="AT217">
            <v>997740</v>
          </cell>
          <cell r="AU217">
            <v>6813.1143317782953</v>
          </cell>
          <cell r="AV217">
            <v>532.49313815187554</v>
          </cell>
          <cell r="AW217">
            <v>323.34166666666664</v>
          </cell>
          <cell r="AX217">
            <v>7668.949136596837</v>
          </cell>
          <cell r="AY217" t="e">
            <v>#REF!</v>
          </cell>
          <cell r="BF217" t="str">
            <v>PCV</v>
          </cell>
          <cell r="BG217" t="str">
            <v>Elena Sikaviza</v>
          </cell>
          <cell r="BH217" t="str">
            <v>Antonio Rada</v>
          </cell>
          <cell r="BL217">
            <v>1</v>
          </cell>
          <cell r="BN217">
            <v>1</v>
          </cell>
          <cell r="BO217">
            <v>1108600</v>
          </cell>
          <cell r="BP217">
            <v>0</v>
          </cell>
        </row>
        <row r="218">
          <cell r="B218">
            <v>1210</v>
          </cell>
          <cell r="C218" t="str">
            <v>C6</v>
          </cell>
          <cell r="D218">
            <v>55</v>
          </cell>
          <cell r="E218">
            <v>2</v>
          </cell>
          <cell r="F218">
            <v>1</v>
          </cell>
          <cell r="G218">
            <v>1.45</v>
          </cell>
          <cell r="I218">
            <v>1</v>
          </cell>
          <cell r="J218">
            <v>98</v>
          </cell>
          <cell r="K218">
            <v>100</v>
          </cell>
          <cell r="L218" t="str">
            <v>DIFERENTE</v>
          </cell>
          <cell r="M218" t="str">
            <v>S-4_318-319</v>
          </cell>
          <cell r="N218" t="str">
            <v>S4_318-319</v>
          </cell>
          <cell r="O218" t="str">
            <v>S4_224</v>
          </cell>
          <cell r="P218" t="str">
            <v>MISMO SÓTANO</v>
          </cell>
          <cell r="Q218">
            <v>13175</v>
          </cell>
          <cell r="R218">
            <v>1016090.76</v>
          </cell>
          <cell r="S218">
            <v>1110587.20068</v>
          </cell>
          <cell r="T218">
            <v>1016102.4702653248</v>
          </cell>
          <cell r="U218">
            <v>1110600</v>
          </cell>
          <cell r="V218">
            <v>55600</v>
          </cell>
          <cell r="W218">
            <v>1166200</v>
          </cell>
          <cell r="AA218">
            <v>1166200</v>
          </cell>
          <cell r="AC218">
            <v>1166200</v>
          </cell>
          <cell r="AF218">
            <v>1166200</v>
          </cell>
          <cell r="AH218">
            <v>-55600</v>
          </cell>
          <cell r="AI218">
            <v>1110600</v>
          </cell>
          <cell r="AN218">
            <v>1110600</v>
          </cell>
          <cell r="AO218">
            <v>1110600</v>
          </cell>
          <cell r="AP218">
            <v>1110600</v>
          </cell>
          <cell r="AQ218">
            <v>111060</v>
          </cell>
          <cell r="AR218">
            <v>10000</v>
          </cell>
          <cell r="AS218">
            <v>101060</v>
          </cell>
          <cell r="AT218">
            <v>999540</v>
          </cell>
          <cell r="AU218">
            <v>6825.4057161040737</v>
          </cell>
          <cell r="AV218">
            <v>533.4537968892954</v>
          </cell>
          <cell r="AW218">
            <v>323.92500000000001</v>
          </cell>
          <cell r="AX218">
            <v>7682.7845129933694</v>
          </cell>
          <cell r="AY218" t="e">
            <v>#REF!</v>
          </cell>
          <cell r="BF218" t="str">
            <v>PCV</v>
          </cell>
          <cell r="BG218" t="str">
            <v>JMX Inversiones</v>
          </cell>
          <cell r="BH218" t="str">
            <v>Antonio Rada</v>
          </cell>
          <cell r="BL218">
            <v>1</v>
          </cell>
          <cell r="BN218">
            <v>1</v>
          </cell>
          <cell r="BO218">
            <v>1166200</v>
          </cell>
          <cell r="BP218">
            <v>0</v>
          </cell>
        </row>
        <row r="219">
          <cell r="B219">
            <v>1211</v>
          </cell>
          <cell r="C219" t="str">
            <v>C5</v>
          </cell>
          <cell r="D219">
            <v>54.86</v>
          </cell>
          <cell r="E219">
            <v>2</v>
          </cell>
          <cell r="F219">
            <v>1</v>
          </cell>
          <cell r="G219">
            <v>1.45</v>
          </cell>
          <cell r="I219">
            <v>1</v>
          </cell>
          <cell r="J219">
            <v>99</v>
          </cell>
          <cell r="K219">
            <v>101</v>
          </cell>
          <cell r="L219" t="str">
            <v>DIFERENTE</v>
          </cell>
          <cell r="M219" t="str">
            <v>S-4_320-321</v>
          </cell>
          <cell r="N219" t="str">
            <v>S4_320-321</v>
          </cell>
          <cell r="O219" t="str">
            <v>S4_225</v>
          </cell>
          <cell r="P219" t="str">
            <v>MISMO SÓTANO</v>
          </cell>
          <cell r="Q219">
            <v>13175</v>
          </cell>
          <cell r="R219">
            <v>1014246.26</v>
          </cell>
          <cell r="S219">
            <v>1108571.16218</v>
          </cell>
          <cell r="T219">
            <v>1014272.6440988106</v>
          </cell>
          <cell r="U219">
            <v>1108600</v>
          </cell>
          <cell r="V219">
            <v>55500</v>
          </cell>
          <cell r="W219">
            <v>1164100</v>
          </cell>
          <cell r="X219">
            <v>29102.5</v>
          </cell>
          <cell r="AA219">
            <v>1193202.5</v>
          </cell>
          <cell r="AC219">
            <v>1193202.5</v>
          </cell>
          <cell r="AF219">
            <v>1193202.5</v>
          </cell>
          <cell r="AH219">
            <v>0</v>
          </cell>
          <cell r="AI219">
            <v>1193202.5</v>
          </cell>
          <cell r="AN219">
            <v>1193202.5</v>
          </cell>
          <cell r="AO219">
            <v>1193300</v>
          </cell>
          <cell r="AP219">
            <v>1193202.5</v>
          </cell>
          <cell r="AQ219">
            <v>119320.25</v>
          </cell>
          <cell r="AR219">
            <v>10000</v>
          </cell>
          <cell r="AS219">
            <v>109320.25</v>
          </cell>
          <cell r="AT219">
            <v>1073882.25</v>
          </cell>
          <cell r="AU219">
            <v>7333.0552529890783</v>
          </cell>
          <cell r="AV219">
            <v>573.13020356816105</v>
          </cell>
          <cell r="AW219">
            <v>348.0173958333333</v>
          </cell>
          <cell r="AX219">
            <v>8254.2028523905719</v>
          </cell>
          <cell r="AY219" t="e">
            <v>#REF!</v>
          </cell>
          <cell r="BF219" t="str">
            <v>PCV</v>
          </cell>
          <cell r="BG219" t="str">
            <v>Jorge Daniel Baca Chiroy</v>
          </cell>
          <cell r="BH219" t="str">
            <v>Antonio Rada</v>
          </cell>
          <cell r="BL219">
            <v>1</v>
          </cell>
          <cell r="BN219">
            <v>1</v>
          </cell>
          <cell r="BO219">
            <v>1193300</v>
          </cell>
          <cell r="BP219">
            <v>97.5</v>
          </cell>
        </row>
        <row r="220">
          <cell r="B220">
            <v>1212</v>
          </cell>
          <cell r="C220" t="str">
            <v>A8</v>
          </cell>
          <cell r="D220">
            <v>35.94</v>
          </cell>
          <cell r="E220">
            <v>1</v>
          </cell>
          <cell r="G220">
            <v>1.49</v>
          </cell>
          <cell r="H220">
            <v>1</v>
          </cell>
          <cell r="L220" t="str">
            <v>IGUAL</v>
          </cell>
          <cell r="M220" t="str">
            <v>S-4_246</v>
          </cell>
          <cell r="N220" t="str">
            <v>S4_246</v>
          </cell>
          <cell r="O220" t="str">
            <v>S4_174</v>
          </cell>
          <cell r="P220" t="str">
            <v>MISMO SÓTANO</v>
          </cell>
          <cell r="Q220">
            <v>13368.75</v>
          </cell>
          <cell r="R220">
            <v>610051.78700000001</v>
          </cell>
          <cell r="S220">
            <v>666786.60319099994</v>
          </cell>
          <cell r="T220">
            <v>610064.04391582799</v>
          </cell>
          <cell r="U220">
            <v>666800</v>
          </cell>
          <cell r="V220">
            <v>36700</v>
          </cell>
          <cell r="W220">
            <v>703500</v>
          </cell>
          <cell r="AA220">
            <v>703500</v>
          </cell>
          <cell r="AC220">
            <v>703500</v>
          </cell>
          <cell r="AF220">
            <v>703500</v>
          </cell>
          <cell r="AH220">
            <v>-36700</v>
          </cell>
          <cell r="AI220">
            <v>666800</v>
          </cell>
          <cell r="AN220">
            <v>666800</v>
          </cell>
          <cell r="AO220">
            <v>666800</v>
          </cell>
          <cell r="AP220">
            <v>666800</v>
          </cell>
          <cell r="AQ220">
            <v>66680</v>
          </cell>
          <cell r="AR220">
            <v>10000</v>
          </cell>
          <cell r="AS220">
            <v>56680</v>
          </cell>
          <cell r="AT220">
            <v>600120</v>
          </cell>
          <cell r="AU220">
            <v>4097.947534214115</v>
          </cell>
          <cell r="AV220">
            <v>320.28362305580964</v>
          </cell>
          <cell r="AW220">
            <v>194.48333333333335</v>
          </cell>
          <cell r="AX220">
            <v>4612.7144906032581</v>
          </cell>
          <cell r="AY220" t="e">
            <v>#REF!</v>
          </cell>
          <cell r="BF220" t="str">
            <v>PCV</v>
          </cell>
          <cell r="BG220" t="str">
            <v>Sergio Bolaños</v>
          </cell>
          <cell r="BH220" t="str">
            <v>Brenda Búcaro</v>
          </cell>
          <cell r="BL220">
            <v>1</v>
          </cell>
          <cell r="BN220">
            <v>1</v>
          </cell>
          <cell r="BO220">
            <v>703500</v>
          </cell>
          <cell r="BP220">
            <v>0</v>
          </cell>
        </row>
        <row r="221">
          <cell r="B221">
            <v>1213</v>
          </cell>
          <cell r="C221" t="str">
            <v>A2</v>
          </cell>
          <cell r="D221">
            <v>34.9</v>
          </cell>
          <cell r="E221">
            <v>1</v>
          </cell>
          <cell r="G221">
            <v>1.49</v>
          </cell>
          <cell r="H221">
            <v>1</v>
          </cell>
          <cell r="L221" t="str">
            <v>IGUAL</v>
          </cell>
          <cell r="M221" t="str">
            <v>S-4_247</v>
          </cell>
          <cell r="N221" t="str">
            <v>S4_247</v>
          </cell>
          <cell r="O221" t="str">
            <v>S4_175</v>
          </cell>
          <cell r="P221" t="str">
            <v>MISMO SÓTANO</v>
          </cell>
          <cell r="Q221">
            <v>13368.75</v>
          </cell>
          <cell r="R221">
            <v>596148.28700000001</v>
          </cell>
          <cell r="S221">
            <v>651590.07769099995</v>
          </cell>
          <cell r="T221">
            <v>596157.36505032028</v>
          </cell>
          <cell r="U221">
            <v>651600</v>
          </cell>
          <cell r="W221">
            <v>651600</v>
          </cell>
          <cell r="AA221">
            <v>651600</v>
          </cell>
          <cell r="AC221">
            <v>651600</v>
          </cell>
          <cell r="AF221">
            <v>651600</v>
          </cell>
          <cell r="AH221">
            <v>-5961</v>
          </cell>
          <cell r="AI221">
            <v>645639</v>
          </cell>
          <cell r="AN221">
            <v>645639</v>
          </cell>
          <cell r="AO221">
            <v>645700</v>
          </cell>
          <cell r="AP221">
            <v>645639</v>
          </cell>
          <cell r="AQ221">
            <v>64563.9</v>
          </cell>
          <cell r="AR221">
            <v>10000</v>
          </cell>
          <cell r="AS221">
            <v>54563.9</v>
          </cell>
          <cell r="AT221">
            <v>581075.1</v>
          </cell>
          <cell r="AU221">
            <v>3967.8985423552294</v>
          </cell>
          <cell r="AV221">
            <v>310.11937328453791</v>
          </cell>
          <cell r="AW221">
            <v>188.311375</v>
          </cell>
          <cell r="AX221">
            <v>4466.3292906397674</v>
          </cell>
          <cell r="AY221" t="e">
            <v>#REF!</v>
          </cell>
          <cell r="BF221" t="str">
            <v>PCV</v>
          </cell>
          <cell r="BG221" t="str">
            <v>Secretos, S.A.</v>
          </cell>
          <cell r="BH221" t="str">
            <v>Alexander Franco</v>
          </cell>
          <cell r="BL221">
            <v>1</v>
          </cell>
          <cell r="BN221">
            <v>1</v>
          </cell>
          <cell r="BO221">
            <v>645700</v>
          </cell>
          <cell r="BP221">
            <v>-5900</v>
          </cell>
        </row>
        <row r="222">
          <cell r="B222">
            <v>1214</v>
          </cell>
          <cell r="C222" t="str">
            <v>A11</v>
          </cell>
          <cell r="D222">
            <v>41.2</v>
          </cell>
          <cell r="E222">
            <v>1</v>
          </cell>
          <cell r="G222">
            <v>1.71</v>
          </cell>
          <cell r="H222">
            <v>1</v>
          </cell>
          <cell r="L222" t="str">
            <v>IGUAL</v>
          </cell>
          <cell r="M222" t="str">
            <v>S-4_255</v>
          </cell>
          <cell r="N222" t="str">
            <v>S4_255</v>
          </cell>
          <cell r="O222" t="str">
            <v>S4_183</v>
          </cell>
          <cell r="P222" t="str">
            <v>MISMO SÓTANO</v>
          </cell>
          <cell r="Q222">
            <v>13368.75</v>
          </cell>
          <cell r="R222">
            <v>681785.74800000002</v>
          </cell>
          <cell r="S222">
            <v>745191.82256400003</v>
          </cell>
          <cell r="T222">
            <v>681793.22964318388</v>
          </cell>
          <cell r="U222">
            <v>745200</v>
          </cell>
          <cell r="V222">
            <v>41000</v>
          </cell>
          <cell r="W222">
            <v>786200</v>
          </cell>
          <cell r="AA222">
            <v>786200</v>
          </cell>
          <cell r="AC222">
            <v>786200</v>
          </cell>
          <cell r="AF222">
            <v>786200</v>
          </cell>
          <cell r="AH222">
            <v>0</v>
          </cell>
          <cell r="AI222">
            <v>786200</v>
          </cell>
          <cell r="AN222">
            <v>786200</v>
          </cell>
          <cell r="AO222">
            <v>786200</v>
          </cell>
          <cell r="AP222">
            <v>786200</v>
          </cell>
          <cell r="AQ222">
            <v>78620</v>
          </cell>
          <cell r="AR222">
            <v>10000</v>
          </cell>
          <cell r="AS222">
            <v>68620</v>
          </cell>
          <cell r="AT222">
            <v>707580</v>
          </cell>
          <cell r="AU222">
            <v>4831.7431784630135</v>
          </cell>
          <cell r="AV222">
            <v>377.63494967978039</v>
          </cell>
          <cell r="AW222">
            <v>229.30833333333337</v>
          </cell>
          <cell r="AX222">
            <v>5438.6864614761271</v>
          </cell>
          <cell r="AY222" t="e">
            <v>#REF!</v>
          </cell>
          <cell r="BF222" t="str">
            <v>PCV</v>
          </cell>
          <cell r="BG222" t="str">
            <v>Armando Ordoñez</v>
          </cell>
          <cell r="BH222" t="str">
            <v>Alexander Franco</v>
          </cell>
          <cell r="BL222">
            <v>1</v>
          </cell>
          <cell r="BN222">
            <v>1</v>
          </cell>
          <cell r="BO222">
            <v>786200</v>
          </cell>
          <cell r="BP222">
            <v>0</v>
          </cell>
        </row>
        <row r="223">
          <cell r="B223">
            <v>1215</v>
          </cell>
          <cell r="C223" t="str">
            <v>B4</v>
          </cell>
          <cell r="D223">
            <v>49.77</v>
          </cell>
          <cell r="E223">
            <v>2</v>
          </cell>
          <cell r="G223">
            <v>1.49</v>
          </cell>
          <cell r="H223">
            <v>1</v>
          </cell>
          <cell r="L223" t="str">
            <v>IGUAL</v>
          </cell>
          <cell r="M223" t="str">
            <v>S-2_49</v>
          </cell>
          <cell r="N223" t="str">
            <v>S2_49</v>
          </cell>
          <cell r="O223" t="str">
            <v>S2_26</v>
          </cell>
          <cell r="P223" t="str">
            <v>MISMO SÓTANO</v>
          </cell>
          <cell r="Q223">
            <v>13175</v>
          </cell>
          <cell r="R223">
            <v>785298.66200000001</v>
          </cell>
          <cell r="S223">
            <v>858331.43756600004</v>
          </cell>
          <cell r="T223">
            <v>785361.39066788659</v>
          </cell>
          <cell r="U223">
            <v>858400</v>
          </cell>
          <cell r="W223">
            <v>858400</v>
          </cell>
          <cell r="AA223">
            <v>858400</v>
          </cell>
          <cell r="AC223">
            <v>858400</v>
          </cell>
          <cell r="AF223">
            <v>858400</v>
          </cell>
          <cell r="AH223">
            <v>0</v>
          </cell>
          <cell r="AI223">
            <v>858400</v>
          </cell>
          <cell r="AN223">
            <v>858400</v>
          </cell>
          <cell r="AO223">
            <v>858400</v>
          </cell>
          <cell r="AP223">
            <v>858400</v>
          </cell>
          <cell r="AQ223">
            <v>85840</v>
          </cell>
          <cell r="AR223">
            <v>10000</v>
          </cell>
          <cell r="AS223">
            <v>75840</v>
          </cell>
          <cell r="AT223">
            <v>772560</v>
          </cell>
          <cell r="AU223">
            <v>5275.4621526235696</v>
          </cell>
          <cell r="AV223">
            <v>412.31473010064042</v>
          </cell>
          <cell r="AW223">
            <v>250.36666666666667</v>
          </cell>
          <cell r="AX223">
            <v>5938.1435493908766</v>
          </cell>
          <cell r="AY223" t="e">
            <v>#REF!</v>
          </cell>
          <cell r="BF223" t="str">
            <v>PCV</v>
          </cell>
          <cell r="BG223" t="str">
            <v>Javier Hernández</v>
          </cell>
          <cell r="BH223" t="str">
            <v>Antonio Rada</v>
          </cell>
          <cell r="BL223">
            <v>1</v>
          </cell>
          <cell r="BN223">
            <v>1</v>
          </cell>
          <cell r="BO223">
            <v>858400</v>
          </cell>
          <cell r="BP223">
            <v>0</v>
          </cell>
        </row>
        <row r="224">
          <cell r="B224">
            <v>1216</v>
          </cell>
          <cell r="C224" t="str">
            <v>B3</v>
          </cell>
          <cell r="D224">
            <v>48.96</v>
          </cell>
          <cell r="E224">
            <v>2</v>
          </cell>
          <cell r="G224">
            <v>1.26</v>
          </cell>
          <cell r="H224">
            <v>1</v>
          </cell>
          <cell r="L224" t="str">
            <v>IGUAL</v>
          </cell>
          <cell r="M224" t="str">
            <v>S-2_83</v>
          </cell>
          <cell r="N224" t="str">
            <v>S2_83</v>
          </cell>
          <cell r="O224" t="str">
            <v>S2_27</v>
          </cell>
          <cell r="P224" t="str">
            <v>MISMO SÓTANO</v>
          </cell>
          <cell r="Q224">
            <v>13175</v>
          </cell>
          <cell r="R224">
            <v>773148.28799999994</v>
          </cell>
          <cell r="S224">
            <v>845051.0787839999</v>
          </cell>
          <cell r="T224">
            <v>773193.04666056728</v>
          </cell>
          <cell r="U224">
            <v>845100</v>
          </cell>
          <cell r="V224">
            <v>42300</v>
          </cell>
          <cell r="W224">
            <v>887400</v>
          </cell>
          <cell r="AA224">
            <v>887400</v>
          </cell>
          <cell r="AC224">
            <v>963300</v>
          </cell>
          <cell r="AE224">
            <v>0</v>
          </cell>
          <cell r="AF224">
            <v>963300</v>
          </cell>
          <cell r="AG224">
            <v>144495</v>
          </cell>
          <cell r="AH224">
            <v>18466.819559920114</v>
          </cell>
          <cell r="AI224">
            <v>1126261.8195599201</v>
          </cell>
          <cell r="AJ224">
            <v>78838.32736919442</v>
          </cell>
          <cell r="AN224">
            <v>1205100.1469291146</v>
          </cell>
          <cell r="AO224">
            <v>1205200</v>
          </cell>
          <cell r="AP224">
            <v>1039156.16</v>
          </cell>
          <cell r="AQ224">
            <v>112626.18195599201</v>
          </cell>
          <cell r="AR224">
            <v>10000</v>
          </cell>
          <cell r="AS224">
            <v>102626.18195599201</v>
          </cell>
          <cell r="AT224">
            <v>1013635.6376039281</v>
          </cell>
          <cell r="AU224">
            <v>6921.6584378300504</v>
          </cell>
          <cell r="AV224">
            <v>540.97662879136135</v>
          </cell>
          <cell r="AW224">
            <v>328.49303070497672</v>
          </cell>
          <cell r="AX224">
            <v>7791.1280973263893</v>
          </cell>
          <cell r="AY224" t="e">
            <v>#REF!</v>
          </cell>
          <cell r="BF224" t="str">
            <v>PCV</v>
          </cell>
          <cell r="BG224" t="str">
            <v>Alan Richard Gonzalez Choc</v>
          </cell>
          <cell r="BH224" t="str">
            <v>Anahi Cisneros</v>
          </cell>
          <cell r="BI224">
            <v>45856</v>
          </cell>
          <cell r="BL224" t="str">
            <v>Perfilan</v>
          </cell>
          <cell r="BN224">
            <v>1</v>
          </cell>
          <cell r="BO224">
            <v>887400</v>
          </cell>
          <cell r="BP224">
            <v>0</v>
          </cell>
        </row>
        <row r="225">
          <cell r="B225">
            <v>1217</v>
          </cell>
          <cell r="C225" t="str">
            <v>D4</v>
          </cell>
          <cell r="D225">
            <v>65.09</v>
          </cell>
          <cell r="E225">
            <v>3</v>
          </cell>
          <cell r="F225">
            <v>1</v>
          </cell>
          <cell r="G225">
            <v>1.49</v>
          </cell>
          <cell r="I225">
            <v>1</v>
          </cell>
          <cell r="J225">
            <v>67</v>
          </cell>
          <cell r="K225">
            <v>70</v>
          </cell>
          <cell r="L225" t="str">
            <v>DIFERENTE</v>
          </cell>
          <cell r="M225" t="str">
            <v>S-3_222-223</v>
          </cell>
          <cell r="N225" t="str">
            <v>S3_222-223</v>
          </cell>
          <cell r="O225" t="str">
            <v>S3_155</v>
          </cell>
          <cell r="P225" t="str">
            <v>MISMO SÓTANO</v>
          </cell>
          <cell r="Q225">
            <v>12710</v>
          </cell>
          <cell r="R225">
            <v>1119016.8119999999</v>
          </cell>
          <cell r="S225">
            <v>1223085.375516</v>
          </cell>
          <cell r="T225">
            <v>1119030.1921317475</v>
          </cell>
          <cell r="U225">
            <v>1223100</v>
          </cell>
          <cell r="V225">
            <v>30600</v>
          </cell>
          <cell r="W225">
            <v>1253700</v>
          </cell>
          <cell r="AA225">
            <v>1253700</v>
          </cell>
          <cell r="AC225">
            <v>1253700</v>
          </cell>
          <cell r="AF225">
            <v>1253700</v>
          </cell>
          <cell r="AH225">
            <v>0</v>
          </cell>
          <cell r="AI225">
            <v>1253700</v>
          </cell>
          <cell r="AN225">
            <v>1253700</v>
          </cell>
          <cell r="AO225">
            <v>1253700</v>
          </cell>
          <cell r="AP225">
            <v>1253700</v>
          </cell>
          <cell r="AQ225">
            <v>125370</v>
          </cell>
          <cell r="AR225">
            <v>10000</v>
          </cell>
          <cell r="AS225">
            <v>115370</v>
          </cell>
          <cell r="AT225">
            <v>1128330</v>
          </cell>
          <cell r="AU225">
            <v>7704.854264613432</v>
          </cell>
          <cell r="AV225">
            <v>602.18892955169247</v>
          </cell>
          <cell r="AW225">
            <v>365.66249999999997</v>
          </cell>
          <cell r="AX225">
            <v>8672.7056941651244</v>
          </cell>
          <cell r="AY225" t="e">
            <v>#REF!</v>
          </cell>
          <cell r="BF225" t="str">
            <v xml:space="preserve">PCV </v>
          </cell>
          <cell r="BG225" t="str">
            <v>Irene Noemy Santisteban Chigüil</v>
          </cell>
          <cell r="BH225" t="str">
            <v xml:space="preserve">Antonio Rada </v>
          </cell>
          <cell r="BL225">
            <v>1</v>
          </cell>
          <cell r="BN225">
            <v>1</v>
          </cell>
          <cell r="BO225">
            <v>1253700</v>
          </cell>
          <cell r="BP225">
            <v>0</v>
          </cell>
        </row>
        <row r="226">
          <cell r="B226">
            <v>1218</v>
          </cell>
          <cell r="C226" t="str">
            <v>D1</v>
          </cell>
          <cell r="D226">
            <v>64.959999999999994</v>
          </cell>
          <cell r="E226">
            <v>3</v>
          </cell>
          <cell r="F226">
            <v>1</v>
          </cell>
          <cell r="G226">
            <v>3.38</v>
          </cell>
          <cell r="I226">
            <v>1</v>
          </cell>
          <cell r="J226">
            <v>68</v>
          </cell>
          <cell r="K226">
            <v>71</v>
          </cell>
          <cell r="L226" t="str">
            <v>DIFERENTE</v>
          </cell>
          <cell r="M226" t="str">
            <v>S-3_224-225</v>
          </cell>
          <cell r="N226" t="str">
            <v>S3_224-225</v>
          </cell>
          <cell r="O226" t="str">
            <v>S3_156</v>
          </cell>
          <cell r="P226" t="str">
            <v>MISMO SÓTANO</v>
          </cell>
          <cell r="Q226">
            <v>12710</v>
          </cell>
          <cell r="R226">
            <v>1129514.9440000001</v>
          </cell>
          <cell r="S226">
            <v>1234559.8337920001</v>
          </cell>
          <cell r="T226">
            <v>1129551.6925892041</v>
          </cell>
          <cell r="U226">
            <v>1234600</v>
          </cell>
          <cell r="V226">
            <v>30900</v>
          </cell>
          <cell r="W226">
            <v>1265500</v>
          </cell>
          <cell r="AA226">
            <v>1265500</v>
          </cell>
          <cell r="AC226">
            <v>1265500</v>
          </cell>
          <cell r="AF226">
            <v>1265500</v>
          </cell>
          <cell r="AG226">
            <v>63275</v>
          </cell>
          <cell r="AH226">
            <v>22150.531606239965</v>
          </cell>
          <cell r="AI226">
            <v>1350925.53160624</v>
          </cell>
          <cell r="AN226">
            <v>1350925.53160624</v>
          </cell>
          <cell r="AO226">
            <v>1351000</v>
          </cell>
          <cell r="AP226">
            <v>1350925.53</v>
          </cell>
          <cell r="AQ226">
            <v>135092.553160624</v>
          </cell>
          <cell r="AR226">
            <v>10000</v>
          </cell>
          <cell r="AS226">
            <v>125092.553160624</v>
          </cell>
          <cell r="AT226">
            <v>1215832.9784456161</v>
          </cell>
          <cell r="AU226">
            <v>8302.3724522385783</v>
          </cell>
          <cell r="AV226">
            <v>648.88920777060935</v>
          </cell>
          <cell r="AW226">
            <v>394.01994671848666</v>
          </cell>
          <cell r="AX226">
            <v>9345.2816067276744</v>
          </cell>
          <cell r="AY226" t="e">
            <v>#REF!</v>
          </cell>
          <cell r="BF226" t="str">
            <v>PCV</v>
          </cell>
          <cell r="BG226" t="str">
            <v>Hector Echeverria</v>
          </cell>
          <cell r="BH226" t="str">
            <v>Diana Alvarez</v>
          </cell>
          <cell r="BI226">
            <v>45609</v>
          </cell>
          <cell r="BK226">
            <v>1</v>
          </cell>
          <cell r="BN226">
            <v>1</v>
          </cell>
          <cell r="BO226">
            <v>1265500</v>
          </cell>
          <cell r="BP226">
            <v>0</v>
          </cell>
        </row>
        <row r="227">
          <cell r="B227">
            <v>1301</v>
          </cell>
          <cell r="C227" t="str">
            <v>D4</v>
          </cell>
          <cell r="D227">
            <v>65.09</v>
          </cell>
          <cell r="E227">
            <v>3</v>
          </cell>
          <cell r="F227">
            <v>1</v>
          </cell>
          <cell r="G227">
            <v>1.49</v>
          </cell>
          <cell r="I227">
            <v>1</v>
          </cell>
          <cell r="J227">
            <v>69</v>
          </cell>
          <cell r="K227">
            <v>72</v>
          </cell>
          <cell r="L227" t="str">
            <v>DIFERENTE</v>
          </cell>
          <cell r="M227" t="str">
            <v>S-3_226-227</v>
          </cell>
          <cell r="N227" t="str">
            <v>S3_226-227</v>
          </cell>
          <cell r="O227" t="str">
            <v>S3_157</v>
          </cell>
          <cell r="P227" t="str">
            <v>MISMO SÓTANO</v>
          </cell>
          <cell r="Q227">
            <v>12710</v>
          </cell>
          <cell r="R227">
            <v>1119016.8119999999</v>
          </cell>
          <cell r="S227">
            <v>1223085.375516</v>
          </cell>
          <cell r="T227">
            <v>1119030.1921317475</v>
          </cell>
          <cell r="U227">
            <v>1223100</v>
          </cell>
          <cell r="V227">
            <v>30600</v>
          </cell>
          <cell r="W227">
            <v>1253700</v>
          </cell>
          <cell r="AA227">
            <v>1253700</v>
          </cell>
          <cell r="AC227">
            <v>1253700</v>
          </cell>
          <cell r="AF227">
            <v>1253700</v>
          </cell>
          <cell r="AH227">
            <v>0</v>
          </cell>
          <cell r="AI227">
            <v>1253700</v>
          </cell>
          <cell r="AN227">
            <v>1253700</v>
          </cell>
          <cell r="AO227">
            <v>1253700</v>
          </cell>
          <cell r="AP227">
            <v>1253700</v>
          </cell>
          <cell r="AQ227">
            <v>125370</v>
          </cell>
          <cell r="AR227">
            <v>10000</v>
          </cell>
          <cell r="AS227">
            <v>115370</v>
          </cell>
          <cell r="AT227">
            <v>1128330</v>
          </cell>
          <cell r="AU227">
            <v>7704.854264613432</v>
          </cell>
          <cell r="AV227">
            <v>602.18892955169247</v>
          </cell>
          <cell r="AW227">
            <v>365.66249999999997</v>
          </cell>
          <cell r="AX227">
            <v>8672.7056941651244</v>
          </cell>
          <cell r="AY227" t="e">
            <v>#REF!</v>
          </cell>
          <cell r="BF227" t="str">
            <v>PCV</v>
          </cell>
          <cell r="BG227" t="str">
            <v>Raul Eliazar Lemus Garza</v>
          </cell>
          <cell r="BH227" t="str">
            <v xml:space="preserve">Antonio Rada </v>
          </cell>
          <cell r="BL227" t="str">
            <v>Pagina Web</v>
          </cell>
          <cell r="BN227">
            <v>1</v>
          </cell>
          <cell r="BO227">
            <v>1253700</v>
          </cell>
          <cell r="BP227">
            <v>0</v>
          </cell>
        </row>
        <row r="228">
          <cell r="B228">
            <v>1302</v>
          </cell>
          <cell r="C228" t="str">
            <v>D1</v>
          </cell>
          <cell r="D228">
            <v>64.959999999999994</v>
          </cell>
          <cell r="E228">
            <v>3</v>
          </cell>
          <cell r="F228">
            <v>1</v>
          </cell>
          <cell r="G228">
            <v>3.38</v>
          </cell>
          <cell r="I228">
            <v>1</v>
          </cell>
          <cell r="J228">
            <v>70</v>
          </cell>
          <cell r="K228">
            <v>73</v>
          </cell>
          <cell r="L228" t="str">
            <v>DIFERENTE</v>
          </cell>
          <cell r="M228" t="str">
            <v>S-3_228-229</v>
          </cell>
          <cell r="N228" t="str">
            <v>S3_228-229</v>
          </cell>
          <cell r="O228" t="str">
            <v>S3_158</v>
          </cell>
          <cell r="P228" t="str">
            <v>MISMO SÓTANO</v>
          </cell>
          <cell r="Q228">
            <v>12710</v>
          </cell>
          <cell r="R228">
            <v>1129514.9440000001</v>
          </cell>
          <cell r="S228">
            <v>1234559.8337920001</v>
          </cell>
          <cell r="T228">
            <v>1129551.6925892041</v>
          </cell>
          <cell r="U228">
            <v>1234600</v>
          </cell>
          <cell r="V228">
            <v>30900</v>
          </cell>
          <cell r="W228">
            <v>1265500</v>
          </cell>
          <cell r="AA228">
            <v>1265500</v>
          </cell>
          <cell r="AC228">
            <v>1265500</v>
          </cell>
          <cell r="AF228">
            <v>1265500</v>
          </cell>
          <cell r="AG228">
            <v>63275</v>
          </cell>
          <cell r="AH228">
            <v>22150.531606239965</v>
          </cell>
          <cell r="AI228">
            <v>1350925.53160624</v>
          </cell>
          <cell r="AN228">
            <v>1350925.53160624</v>
          </cell>
          <cell r="AO228">
            <v>1351000</v>
          </cell>
          <cell r="AP228">
            <v>1350925.53</v>
          </cell>
          <cell r="AQ228">
            <v>135092.553160624</v>
          </cell>
          <cell r="AR228">
            <v>10000</v>
          </cell>
          <cell r="AS228">
            <v>125092.553160624</v>
          </cell>
          <cell r="AT228">
            <v>1215832.9784456161</v>
          </cell>
          <cell r="AU228">
            <v>8302.3724522385783</v>
          </cell>
          <cell r="AV228">
            <v>648.88920777060935</v>
          </cell>
          <cell r="AW228">
            <v>394.01994671848666</v>
          </cell>
          <cell r="AX228">
            <v>9345.2816067276744</v>
          </cell>
          <cell r="AY228" t="e">
            <v>#REF!</v>
          </cell>
          <cell r="BF228" t="str">
            <v>PCV</v>
          </cell>
          <cell r="BG228" t="str">
            <v>Rodolfo Godoy</v>
          </cell>
          <cell r="BH228" t="str">
            <v xml:space="preserve">Antonio Rada </v>
          </cell>
          <cell r="BI228">
            <v>45609</v>
          </cell>
          <cell r="BL228" t="str">
            <v>Pagina Web</v>
          </cell>
          <cell r="BN228">
            <v>1</v>
          </cell>
          <cell r="BO228">
            <v>1265500</v>
          </cell>
          <cell r="BP228">
            <v>0</v>
          </cell>
        </row>
        <row r="229">
          <cell r="B229">
            <v>1303</v>
          </cell>
          <cell r="C229" t="str">
            <v>B4</v>
          </cell>
          <cell r="D229">
            <v>49.77</v>
          </cell>
          <cell r="E229">
            <v>2</v>
          </cell>
          <cell r="F229">
            <v>0</v>
          </cell>
          <cell r="G229">
            <v>1.49</v>
          </cell>
          <cell r="H229">
            <v>1</v>
          </cell>
          <cell r="L229" t="str">
            <v>IGUAL</v>
          </cell>
          <cell r="M229" t="str">
            <v>S-2_51</v>
          </cell>
          <cell r="N229" t="str">
            <v>S2_51</v>
          </cell>
          <cell r="O229" t="str">
            <v>S2_28</v>
          </cell>
          <cell r="P229" t="str">
            <v>MISMO SÓTANO</v>
          </cell>
          <cell r="Q229">
            <v>13175</v>
          </cell>
          <cell r="R229">
            <v>785298.66200000001</v>
          </cell>
          <cell r="S229">
            <v>858331.43756600004</v>
          </cell>
          <cell r="T229">
            <v>785361.39066788659</v>
          </cell>
          <cell r="U229">
            <v>858400</v>
          </cell>
          <cell r="V229">
            <v>43000</v>
          </cell>
          <cell r="W229">
            <v>901400</v>
          </cell>
          <cell r="AA229">
            <v>901400</v>
          </cell>
          <cell r="AC229">
            <v>901400</v>
          </cell>
          <cell r="AF229">
            <v>901400</v>
          </cell>
          <cell r="AH229">
            <v>0</v>
          </cell>
          <cell r="AI229">
            <v>901400</v>
          </cell>
          <cell r="AN229">
            <v>901400</v>
          </cell>
          <cell r="AO229">
            <v>901400</v>
          </cell>
          <cell r="AP229">
            <v>901400</v>
          </cell>
          <cell r="AQ229">
            <v>90140</v>
          </cell>
          <cell r="AR229">
            <v>10000</v>
          </cell>
          <cell r="AS229">
            <v>80140</v>
          </cell>
          <cell r="AT229">
            <v>811260</v>
          </cell>
          <cell r="AU229">
            <v>5539.7269156277798</v>
          </cell>
          <cell r="AV229">
            <v>432.96889295516917</v>
          </cell>
          <cell r="AW229">
            <v>262.90833333333336</v>
          </cell>
          <cell r="AX229">
            <v>6235.604141916283</v>
          </cell>
          <cell r="AY229" t="e">
            <v>#REF!</v>
          </cell>
          <cell r="BF229" t="str">
            <v>PCV</v>
          </cell>
          <cell r="BG229" t="str">
            <v>Ricardo Fernando Linares Pérez</v>
          </cell>
          <cell r="BH229" t="str">
            <v>Antonio Rada</v>
          </cell>
          <cell r="BL229">
            <v>1</v>
          </cell>
          <cell r="BM229">
            <v>1</v>
          </cell>
          <cell r="BN229">
            <v>1</v>
          </cell>
          <cell r="BO229">
            <v>901400</v>
          </cell>
          <cell r="BP229">
            <v>0</v>
          </cell>
        </row>
        <row r="230">
          <cell r="B230">
            <v>1304</v>
          </cell>
          <cell r="C230" t="str">
            <v>B3</v>
          </cell>
          <cell r="D230">
            <v>48.96</v>
          </cell>
          <cell r="E230">
            <v>2</v>
          </cell>
          <cell r="F230">
            <v>0</v>
          </cell>
          <cell r="G230">
            <v>1.26</v>
          </cell>
          <cell r="H230">
            <v>1</v>
          </cell>
          <cell r="L230" t="str">
            <v>IGUAL</v>
          </cell>
          <cell r="M230" t="str">
            <v>S-2_52</v>
          </cell>
          <cell r="N230" t="str">
            <v>S2_52</v>
          </cell>
          <cell r="O230" t="str">
            <v>S2_29</v>
          </cell>
          <cell r="P230" t="str">
            <v>MISMO SÓTANO</v>
          </cell>
          <cell r="Q230">
            <v>13175</v>
          </cell>
          <cell r="R230">
            <v>773148.28799999994</v>
          </cell>
          <cell r="S230">
            <v>845051.0787839999</v>
          </cell>
          <cell r="T230">
            <v>773193.04666056728</v>
          </cell>
          <cell r="U230">
            <v>845100</v>
          </cell>
          <cell r="V230">
            <v>42300</v>
          </cell>
          <cell r="W230">
            <v>887400</v>
          </cell>
          <cell r="AA230">
            <v>887400</v>
          </cell>
          <cell r="AC230">
            <v>887400</v>
          </cell>
          <cell r="AF230">
            <v>887400</v>
          </cell>
          <cell r="AH230">
            <v>-8118.9399999999441</v>
          </cell>
          <cell r="AI230">
            <v>879281.06</v>
          </cell>
          <cell r="AN230">
            <v>879281.06</v>
          </cell>
          <cell r="AO230">
            <v>879300</v>
          </cell>
          <cell r="AP230">
            <v>879281.06</v>
          </cell>
          <cell r="AQ230">
            <v>87928.106000000014</v>
          </cell>
          <cell r="AR230">
            <v>10000</v>
          </cell>
          <cell r="AS230">
            <v>77928.106000000014</v>
          </cell>
          <cell r="AT230">
            <v>791352.95400000003</v>
          </cell>
          <cell r="AU230">
            <v>5403.7907194183772</v>
          </cell>
          <cell r="AV230">
            <v>422.34451646843542</v>
          </cell>
          <cell r="AW230">
            <v>256.45697583333339</v>
          </cell>
          <cell r="AX230">
            <v>6082.5922117201462</v>
          </cell>
          <cell r="AY230" t="e">
            <v>#REF!</v>
          </cell>
          <cell r="BF230" t="str">
            <v>PCV</v>
          </cell>
          <cell r="BG230" t="str">
            <v>Shirley Hilene Recinos</v>
          </cell>
          <cell r="BH230" t="str">
            <v>Antonio Rada</v>
          </cell>
          <cell r="BL230">
            <v>1</v>
          </cell>
          <cell r="BN230">
            <v>1</v>
          </cell>
          <cell r="BO230">
            <v>887400</v>
          </cell>
          <cell r="BP230">
            <v>0</v>
          </cell>
        </row>
        <row r="231">
          <cell r="B231">
            <v>1305</v>
          </cell>
          <cell r="C231" t="str">
            <v>A6</v>
          </cell>
          <cell r="D231">
            <v>35.69</v>
          </cell>
          <cell r="E231">
            <v>1</v>
          </cell>
          <cell r="F231">
            <v>0</v>
          </cell>
          <cell r="G231">
            <v>1.49</v>
          </cell>
          <cell r="H231">
            <v>1</v>
          </cell>
          <cell r="L231" t="str">
            <v>IGUAL</v>
          </cell>
          <cell r="M231" t="str">
            <v>S-4_248</v>
          </cell>
          <cell r="N231" t="str">
            <v>S4_248</v>
          </cell>
          <cell r="O231" t="str">
            <v>S4_176</v>
          </cell>
          <cell r="P231" t="str">
            <v>MISMO SÓTANO</v>
          </cell>
          <cell r="Q231">
            <v>13368.75</v>
          </cell>
          <cell r="R231">
            <v>606709.59950000001</v>
          </cell>
          <cell r="S231">
            <v>663133.59225350001</v>
          </cell>
          <cell r="T231">
            <v>606770.35681610252</v>
          </cell>
          <cell r="U231">
            <v>663200</v>
          </cell>
          <cell r="W231">
            <v>663200</v>
          </cell>
          <cell r="AA231">
            <v>663200</v>
          </cell>
          <cell r="AC231">
            <v>663200</v>
          </cell>
          <cell r="AF231">
            <v>663200</v>
          </cell>
          <cell r="AH231">
            <v>0</v>
          </cell>
          <cell r="AI231">
            <v>663200</v>
          </cell>
          <cell r="AN231">
            <v>663200</v>
          </cell>
          <cell r="AO231">
            <v>663200</v>
          </cell>
          <cell r="AP231">
            <v>773200</v>
          </cell>
          <cell r="AQ231">
            <v>66320</v>
          </cell>
          <cell r="AR231">
            <v>10000</v>
          </cell>
          <cell r="AS231">
            <v>56320</v>
          </cell>
          <cell r="AT231">
            <v>596880</v>
          </cell>
          <cell r="AU231">
            <v>4075.8230424277158</v>
          </cell>
          <cell r="AV231">
            <v>318.55443732845373</v>
          </cell>
          <cell r="AW231">
            <v>193.43333333333337</v>
          </cell>
          <cell r="AX231">
            <v>4587.8108130895025</v>
          </cell>
          <cell r="AY231" t="e">
            <v>#REF!</v>
          </cell>
          <cell r="BF231" t="str">
            <v>PCV</v>
          </cell>
          <cell r="BG231" t="str">
            <v>Jose Salvador Franco Rosales</v>
          </cell>
          <cell r="BH231" t="str">
            <v xml:space="preserve">Antonio Rada </v>
          </cell>
          <cell r="BI231">
            <v>45779</v>
          </cell>
          <cell r="BL231" t="str">
            <v>Facebook</v>
          </cell>
          <cell r="BN231">
            <v>1</v>
          </cell>
          <cell r="BO231">
            <v>663200</v>
          </cell>
          <cell r="BP231">
            <v>0</v>
          </cell>
        </row>
        <row r="232">
          <cell r="B232">
            <v>1306</v>
          </cell>
          <cell r="C232" t="str">
            <v>A4</v>
          </cell>
          <cell r="D232">
            <v>35.549999999999997</v>
          </cell>
          <cell r="E232">
            <v>1</v>
          </cell>
          <cell r="F232">
            <v>0</v>
          </cell>
          <cell r="G232">
            <v>1.49</v>
          </cell>
          <cell r="H232">
            <v>1</v>
          </cell>
          <cell r="L232" t="str">
            <v>IGUAL</v>
          </cell>
          <cell r="M232" t="str">
            <v>S-4_249</v>
          </cell>
          <cell r="N232" t="str">
            <v>S4_249</v>
          </cell>
          <cell r="O232" t="str">
            <v>S4_177</v>
          </cell>
          <cell r="P232" t="str">
            <v>MISMO SÓTANO</v>
          </cell>
          <cell r="Q232">
            <v>13368.75</v>
          </cell>
          <cell r="R232">
            <v>604837.97450000001</v>
          </cell>
          <cell r="S232">
            <v>661087.90612850001</v>
          </cell>
          <cell r="T232">
            <v>604849.03934126254</v>
          </cell>
          <cell r="U232">
            <v>661100</v>
          </cell>
          <cell r="V232">
            <v>36400</v>
          </cell>
          <cell r="W232">
            <v>697500</v>
          </cell>
          <cell r="AA232">
            <v>697500</v>
          </cell>
          <cell r="AC232">
            <v>697500</v>
          </cell>
          <cell r="AF232">
            <v>697500</v>
          </cell>
          <cell r="AH232">
            <v>0</v>
          </cell>
          <cell r="AI232">
            <v>697500</v>
          </cell>
          <cell r="AN232">
            <v>697500</v>
          </cell>
          <cell r="AO232">
            <v>697500</v>
          </cell>
          <cell r="AP232">
            <v>697500</v>
          </cell>
          <cell r="AQ232">
            <v>69750</v>
          </cell>
          <cell r="AR232">
            <v>10000</v>
          </cell>
          <cell r="AS232">
            <v>59750</v>
          </cell>
          <cell r="AT232">
            <v>627750</v>
          </cell>
          <cell r="AU232">
            <v>4286.620283614795</v>
          </cell>
          <cell r="AV232">
            <v>335.02973467520582</v>
          </cell>
          <cell r="AW232">
            <v>203.4375</v>
          </cell>
          <cell r="AX232">
            <v>4825.0875182900008</v>
          </cell>
          <cell r="AY232" t="e">
            <v>#REF!</v>
          </cell>
          <cell r="BF232" t="str">
            <v>PCV</v>
          </cell>
          <cell r="BG232" t="str">
            <v>Barbara Barrientos</v>
          </cell>
          <cell r="BH232" t="str">
            <v>Brenda Bucaro</v>
          </cell>
          <cell r="BL232">
            <v>1</v>
          </cell>
          <cell r="BN232">
            <v>1</v>
          </cell>
          <cell r="BO232">
            <v>697500</v>
          </cell>
          <cell r="BP232">
            <v>0</v>
          </cell>
        </row>
        <row r="233">
          <cell r="B233">
            <v>1307</v>
          </cell>
          <cell r="C233" t="str">
            <v>A12</v>
          </cell>
          <cell r="D233">
            <v>37.17</v>
          </cell>
          <cell r="E233">
            <v>1</v>
          </cell>
          <cell r="F233">
            <v>0</v>
          </cell>
          <cell r="G233">
            <v>1.55</v>
          </cell>
          <cell r="H233">
            <v>1</v>
          </cell>
          <cell r="L233" t="str">
            <v>IGUAL</v>
          </cell>
          <cell r="M233" t="str">
            <v>S-4_250</v>
          </cell>
          <cell r="N233" t="str">
            <v>S4_250</v>
          </cell>
          <cell r="O233" t="str">
            <v>S4_178</v>
          </cell>
          <cell r="P233" t="str">
            <v>MISMO SÓTANO</v>
          </cell>
          <cell r="Q233">
            <v>13368.75</v>
          </cell>
          <cell r="R233">
            <v>626881.07750000001</v>
          </cell>
          <cell r="S233">
            <v>685181.01770750002</v>
          </cell>
          <cell r="T233">
            <v>626898.4446477585</v>
          </cell>
          <cell r="U233">
            <v>685200</v>
          </cell>
          <cell r="W233">
            <v>685200</v>
          </cell>
          <cell r="AA233">
            <v>685200</v>
          </cell>
          <cell r="AC233">
            <v>685200</v>
          </cell>
          <cell r="AF233">
            <v>685200</v>
          </cell>
          <cell r="AH233">
            <v>-6268</v>
          </cell>
          <cell r="AI233">
            <v>678932</v>
          </cell>
          <cell r="AN233">
            <v>678932</v>
          </cell>
          <cell r="AO233">
            <v>679000</v>
          </cell>
          <cell r="AP233">
            <v>678932</v>
          </cell>
          <cell r="AQ233">
            <v>67893.2</v>
          </cell>
          <cell r="AR233">
            <v>10000</v>
          </cell>
          <cell r="AS233">
            <v>57893.2</v>
          </cell>
          <cell r="AT233">
            <v>611038.80000000005</v>
          </cell>
          <cell r="AU233">
            <v>4172.507071534279</v>
          </cell>
          <cell r="AV233">
            <v>326.11097895699908</v>
          </cell>
          <cell r="AW233">
            <v>198.02183333333335</v>
          </cell>
          <cell r="AX233">
            <v>4696.6398838246114</v>
          </cell>
          <cell r="AY233" t="e">
            <v>#REF!</v>
          </cell>
          <cell r="BF233" t="str">
            <v>PCV</v>
          </cell>
          <cell r="BG233" t="str">
            <v>Fernando Franco</v>
          </cell>
          <cell r="BH233" t="str">
            <v>Alexander Franco</v>
          </cell>
          <cell r="BJ233">
            <v>1</v>
          </cell>
          <cell r="BO233">
            <v>685200</v>
          </cell>
          <cell r="BP233">
            <v>0</v>
          </cell>
        </row>
        <row r="234">
          <cell r="B234">
            <v>1308</v>
          </cell>
          <cell r="C234" t="str">
            <v>C6</v>
          </cell>
          <cell r="D234">
            <v>55</v>
          </cell>
          <cell r="E234">
            <v>2</v>
          </cell>
          <cell r="F234">
            <v>1</v>
          </cell>
          <cell r="G234">
            <v>1.45</v>
          </cell>
          <cell r="I234">
            <v>1</v>
          </cell>
          <cell r="J234">
            <v>100</v>
          </cell>
          <cell r="K234">
            <v>102</v>
          </cell>
          <cell r="L234" t="str">
            <v>DIFERENTE</v>
          </cell>
          <cell r="M234" t="str">
            <v>S-4_322-323</v>
          </cell>
          <cell r="N234" t="str">
            <v>S4_322-323</v>
          </cell>
          <cell r="O234" t="str">
            <v>S4_226</v>
          </cell>
          <cell r="P234" t="str">
            <v>MISMO SÓTANO</v>
          </cell>
          <cell r="Q234">
            <v>13175</v>
          </cell>
          <cell r="R234">
            <v>1016090.76</v>
          </cell>
          <cell r="S234">
            <v>1110587.20068</v>
          </cell>
          <cell r="T234">
            <v>1016102.4702653248</v>
          </cell>
          <cell r="U234">
            <v>1110600</v>
          </cell>
          <cell r="V234">
            <v>55600</v>
          </cell>
          <cell r="W234">
            <v>1166200</v>
          </cell>
          <cell r="X234">
            <v>17493</v>
          </cell>
          <cell r="AA234">
            <v>1183693</v>
          </cell>
          <cell r="AC234">
            <v>1183693</v>
          </cell>
          <cell r="AF234">
            <v>1183693</v>
          </cell>
          <cell r="AH234">
            <v>0</v>
          </cell>
          <cell r="AI234">
            <v>1183693</v>
          </cell>
          <cell r="AN234">
            <v>1183693</v>
          </cell>
          <cell r="AO234">
            <v>1183700</v>
          </cell>
          <cell r="AP234">
            <v>1183693</v>
          </cell>
          <cell r="AQ234">
            <v>118369.3</v>
          </cell>
          <cell r="AR234">
            <v>10000</v>
          </cell>
          <cell r="AS234">
            <v>108369.3</v>
          </cell>
          <cell r="AT234">
            <v>1065323.7</v>
          </cell>
          <cell r="AU234">
            <v>7274.61279336609</v>
          </cell>
          <cell r="AV234">
            <v>568.5625114364135</v>
          </cell>
          <cell r="AW234">
            <v>345.24379166666671</v>
          </cell>
          <cell r="AX234">
            <v>8188.4190964691707</v>
          </cell>
          <cell r="AY234" t="e">
            <v>#REF!</v>
          </cell>
          <cell r="BF234" t="str">
            <v>PCV</v>
          </cell>
          <cell r="BG234" t="str">
            <v>Gerson Alexander Urias Marquez</v>
          </cell>
          <cell r="BH234" t="str">
            <v>Antonio Rada</v>
          </cell>
          <cell r="BL234">
            <v>1</v>
          </cell>
          <cell r="BN234">
            <v>1</v>
          </cell>
          <cell r="BO234">
            <v>1166200</v>
          </cell>
          <cell r="BP234">
            <v>-17493</v>
          </cell>
        </row>
        <row r="235">
          <cell r="B235">
            <v>1309</v>
          </cell>
          <cell r="C235" t="str">
            <v>C5</v>
          </cell>
          <cell r="D235">
            <v>54.86</v>
          </cell>
          <cell r="E235">
            <v>2</v>
          </cell>
          <cell r="F235">
            <v>1</v>
          </cell>
          <cell r="G235">
            <v>1.45</v>
          </cell>
          <cell r="I235">
            <v>1</v>
          </cell>
          <cell r="J235">
            <v>101</v>
          </cell>
          <cell r="K235">
            <v>103</v>
          </cell>
          <cell r="L235" t="str">
            <v>DIFERENTE</v>
          </cell>
          <cell r="M235" t="str">
            <v>S-4_324-325</v>
          </cell>
          <cell r="N235" t="str">
            <v>S4_324-325</v>
          </cell>
          <cell r="O235" t="str">
            <v>S4_227</v>
          </cell>
          <cell r="P235" t="str">
            <v>MISMO SÓTANO</v>
          </cell>
          <cell r="Q235">
            <v>13175</v>
          </cell>
          <cell r="R235">
            <v>1014246.26</v>
          </cell>
          <cell r="S235">
            <v>1108571.16218</v>
          </cell>
          <cell r="T235">
            <v>1014272.6440988106</v>
          </cell>
          <cell r="U235">
            <v>1108600</v>
          </cell>
          <cell r="V235">
            <v>55500</v>
          </cell>
          <cell r="W235">
            <v>1164100</v>
          </cell>
          <cell r="X235">
            <v>52384.5</v>
          </cell>
          <cell r="AA235">
            <v>1216484.5</v>
          </cell>
          <cell r="AC235">
            <v>1216484.5</v>
          </cell>
          <cell r="AF235">
            <v>1216484.5</v>
          </cell>
          <cell r="AG235">
            <v>182472.67499999999</v>
          </cell>
          <cell r="AH235">
            <v>23320.46066535986</v>
          </cell>
          <cell r="AI235">
            <v>1422277.6356653599</v>
          </cell>
          <cell r="AJ235">
            <v>180673.31627984319</v>
          </cell>
          <cell r="AK235">
            <v>10000</v>
          </cell>
          <cell r="AN235">
            <v>1612950.9519452031</v>
          </cell>
          <cell r="AO235">
            <v>1613000</v>
          </cell>
          <cell r="AQ235">
            <v>142227.76356653598</v>
          </cell>
          <cell r="AR235">
            <v>10000</v>
          </cell>
          <cell r="AS235">
            <v>132227.76356653598</v>
          </cell>
          <cell r="AT235">
            <v>1280049.872098824</v>
          </cell>
          <cell r="AU235">
            <v>8740.8805189603227</v>
          </cell>
          <cell r="AV235">
            <v>683.16171886945449</v>
          </cell>
          <cell r="AW235">
            <v>414.83097706906329</v>
          </cell>
          <cell r="AX235">
            <v>9838.8732148988402</v>
          </cell>
          <cell r="AY235" t="e">
            <v>#REF!</v>
          </cell>
          <cell r="BF235" t="str">
            <v>Congelado</v>
          </cell>
          <cell r="BG235" t="str">
            <v>Estrategia Comercial</v>
          </cell>
          <cell r="BH235" t="str">
            <v>Junta Directiva</v>
          </cell>
          <cell r="BO235">
            <v>1216500</v>
          </cell>
          <cell r="BP235">
            <v>15.5</v>
          </cell>
        </row>
        <row r="236">
          <cell r="B236">
            <v>1310</v>
          </cell>
          <cell r="C236" t="str">
            <v>C6</v>
          </cell>
          <cell r="D236">
            <v>55</v>
          </cell>
          <cell r="E236">
            <v>2</v>
          </cell>
          <cell r="F236">
            <v>1</v>
          </cell>
          <cell r="G236">
            <v>1.45</v>
          </cell>
          <cell r="I236">
            <v>1</v>
          </cell>
          <cell r="J236">
            <v>102</v>
          </cell>
          <cell r="K236">
            <v>104</v>
          </cell>
          <cell r="L236" t="str">
            <v>DIFERENTE</v>
          </cell>
          <cell r="M236" t="str">
            <v>S-4_326-327</v>
          </cell>
          <cell r="N236" t="str">
            <v>S4_326-327</v>
          </cell>
          <cell r="O236" t="str">
            <v>S4_228</v>
          </cell>
          <cell r="P236" t="str">
            <v>MISMO SÓTANO</v>
          </cell>
          <cell r="Q236">
            <v>13175</v>
          </cell>
          <cell r="R236">
            <v>1016090.76</v>
          </cell>
          <cell r="S236">
            <v>1110587.20068</v>
          </cell>
          <cell r="T236">
            <v>1016102.4702653248</v>
          </cell>
          <cell r="U236">
            <v>1110600</v>
          </cell>
          <cell r="V236">
            <v>55600</v>
          </cell>
          <cell r="W236">
            <v>1166200</v>
          </cell>
          <cell r="AA236">
            <v>1166200</v>
          </cell>
          <cell r="AC236">
            <v>1166200</v>
          </cell>
          <cell r="AF236">
            <v>1166200</v>
          </cell>
          <cell r="AH236">
            <v>0</v>
          </cell>
          <cell r="AI236">
            <v>1166200</v>
          </cell>
          <cell r="AN236">
            <v>1166200</v>
          </cell>
          <cell r="AO236">
            <v>1166200</v>
          </cell>
          <cell r="AP236">
            <v>1110600</v>
          </cell>
          <cell r="AQ236">
            <v>116620</v>
          </cell>
          <cell r="AR236">
            <v>10000</v>
          </cell>
          <cell r="AS236">
            <v>106620</v>
          </cell>
          <cell r="AT236">
            <v>1049580</v>
          </cell>
          <cell r="AU236">
            <v>7167.1062003606794</v>
          </cell>
          <cell r="AV236">
            <v>560.1601097895699</v>
          </cell>
          <cell r="AW236">
            <v>340.14166666666671</v>
          </cell>
          <cell r="AX236">
            <v>8067.4079768169158</v>
          </cell>
          <cell r="AY236" t="e">
            <v>#REF!</v>
          </cell>
          <cell r="BF236" t="str">
            <v>PCV</v>
          </cell>
          <cell r="BG236" t="str">
            <v>Raul Cabrera</v>
          </cell>
          <cell r="BH236" t="str">
            <v>Alexander Franco</v>
          </cell>
          <cell r="BL236">
            <v>1</v>
          </cell>
          <cell r="BN236">
            <v>1</v>
          </cell>
          <cell r="BO236">
            <v>1166200</v>
          </cell>
          <cell r="BP236">
            <v>0</v>
          </cell>
        </row>
        <row r="237">
          <cell r="B237">
            <v>1311</v>
          </cell>
          <cell r="C237" t="str">
            <v>C5</v>
          </cell>
          <cell r="D237">
            <v>54.86</v>
          </cell>
          <cell r="E237">
            <v>2</v>
          </cell>
          <cell r="F237">
            <v>0</v>
          </cell>
          <cell r="G237">
            <v>1.45</v>
          </cell>
          <cell r="H237">
            <v>1</v>
          </cell>
          <cell r="L237" t="str">
            <v>IGUAL</v>
          </cell>
          <cell r="M237" t="str">
            <v>S-1_39</v>
          </cell>
          <cell r="N237" t="str">
            <v>S1_39</v>
          </cell>
          <cell r="O237" t="str">
            <v>S1_18</v>
          </cell>
          <cell r="P237" t="str">
            <v>MISMO SÓTANO</v>
          </cell>
          <cell r="Q237">
            <v>13175</v>
          </cell>
          <cell r="R237">
            <v>852102.26</v>
          </cell>
          <cell r="S237">
            <v>931347.77017999999</v>
          </cell>
          <cell r="T237">
            <v>852150.04574565415</v>
          </cell>
          <cell r="U237">
            <v>931400</v>
          </cell>
          <cell r="V237">
            <v>46600</v>
          </cell>
          <cell r="W237">
            <v>978000</v>
          </cell>
          <cell r="X237">
            <v>44010</v>
          </cell>
          <cell r="AA237">
            <v>1022010</v>
          </cell>
          <cell r="AC237">
            <v>1022010</v>
          </cell>
          <cell r="AF237">
            <v>1022010</v>
          </cell>
          <cell r="AH237">
            <v>0</v>
          </cell>
          <cell r="AI237">
            <v>1022010</v>
          </cell>
          <cell r="AN237">
            <v>1022010</v>
          </cell>
          <cell r="AO237">
            <v>1022100</v>
          </cell>
          <cell r="AP237">
            <v>1022010</v>
          </cell>
          <cell r="AQ237">
            <v>102201</v>
          </cell>
          <cell r="AR237">
            <v>10000</v>
          </cell>
          <cell r="AS237">
            <v>92201</v>
          </cell>
          <cell r="AT237">
            <v>919809</v>
          </cell>
          <cell r="AU237">
            <v>6280.958847393772</v>
          </cell>
          <cell r="AV237">
            <v>490.901418115279</v>
          </cell>
          <cell r="AW237">
            <v>298.08625000000001</v>
          </cell>
          <cell r="AX237">
            <v>7069.9465155090511</v>
          </cell>
          <cell r="AY237" t="e">
            <v>#REF!</v>
          </cell>
          <cell r="BF237" t="str">
            <v>PCV</v>
          </cell>
          <cell r="BG237" t="str">
            <v>Luis Gabriel Garrido Blanco</v>
          </cell>
          <cell r="BH237" t="str">
            <v>Antonio Rada</v>
          </cell>
          <cell r="BL237">
            <v>1</v>
          </cell>
          <cell r="BN237">
            <v>1</v>
          </cell>
          <cell r="BO237">
            <v>1022100</v>
          </cell>
          <cell r="BP237">
            <v>90</v>
          </cell>
        </row>
        <row r="238">
          <cell r="B238">
            <v>1312</v>
          </cell>
          <cell r="C238" t="str">
            <v>A8</v>
          </cell>
          <cell r="D238">
            <v>35.94</v>
          </cell>
          <cell r="E238">
            <v>1</v>
          </cell>
          <cell r="F238">
            <v>0</v>
          </cell>
          <cell r="G238">
            <v>1.49</v>
          </cell>
          <cell r="H238">
            <v>1</v>
          </cell>
          <cell r="L238" t="str">
            <v>IGUAL</v>
          </cell>
          <cell r="M238" t="str">
            <v>S-4_251</v>
          </cell>
          <cell r="N238" t="str">
            <v>S4_251</v>
          </cell>
          <cell r="O238" t="str">
            <v>S4_179</v>
          </cell>
          <cell r="P238" t="str">
            <v>MISMO SÓTANO</v>
          </cell>
          <cell r="Q238">
            <v>13368.75</v>
          </cell>
          <cell r="R238">
            <v>610051.78700000001</v>
          </cell>
          <cell r="S238">
            <v>666786.60319099994</v>
          </cell>
          <cell r="T238">
            <v>610064.04391582799</v>
          </cell>
          <cell r="U238">
            <v>666800</v>
          </cell>
          <cell r="V238">
            <v>36700</v>
          </cell>
          <cell r="W238">
            <v>703500</v>
          </cell>
          <cell r="AA238">
            <v>703500</v>
          </cell>
          <cell r="AC238">
            <v>703500</v>
          </cell>
          <cell r="AF238">
            <v>703500</v>
          </cell>
          <cell r="AH238">
            <v>0</v>
          </cell>
          <cell r="AI238">
            <v>703500</v>
          </cell>
          <cell r="AN238">
            <v>703500</v>
          </cell>
          <cell r="AO238">
            <v>703500</v>
          </cell>
          <cell r="AP238">
            <v>666800</v>
          </cell>
          <cell r="AQ238">
            <v>70350</v>
          </cell>
          <cell r="AR238">
            <v>10000</v>
          </cell>
          <cell r="AS238">
            <v>60350</v>
          </cell>
          <cell r="AT238">
            <v>633150</v>
          </cell>
          <cell r="AU238">
            <v>4323.4944365921265</v>
          </cell>
          <cell r="AV238">
            <v>337.91171088746563</v>
          </cell>
          <cell r="AW238">
            <v>205.1875</v>
          </cell>
          <cell r="AX238">
            <v>4866.5936474795917</v>
          </cell>
          <cell r="AY238" t="e">
            <v>#REF!</v>
          </cell>
          <cell r="BF238" t="str">
            <v>PCV</v>
          </cell>
          <cell r="BG238" t="str">
            <v>Arturo Monzón</v>
          </cell>
          <cell r="BH238" t="str">
            <v>Brenda Búcaro</v>
          </cell>
          <cell r="BL238">
            <v>1</v>
          </cell>
          <cell r="BN238">
            <v>1</v>
          </cell>
          <cell r="BO238">
            <v>703500</v>
          </cell>
          <cell r="BP238">
            <v>0</v>
          </cell>
        </row>
        <row r="239">
          <cell r="B239">
            <v>1313</v>
          </cell>
          <cell r="C239" t="str">
            <v>A2</v>
          </cell>
          <cell r="D239">
            <v>34.9</v>
          </cell>
          <cell r="E239">
            <v>1</v>
          </cell>
          <cell r="F239">
            <v>0</v>
          </cell>
          <cell r="G239">
            <v>1.49</v>
          </cell>
          <cell r="H239">
            <v>1</v>
          </cell>
          <cell r="L239" t="str">
            <v>IGUAL</v>
          </cell>
          <cell r="M239" t="str">
            <v>S-4_252</v>
          </cell>
          <cell r="N239" t="str">
            <v>S4_252</v>
          </cell>
          <cell r="O239" t="str">
            <v>S4_180</v>
          </cell>
          <cell r="P239" t="str">
            <v>MISMO SÓTANO</v>
          </cell>
          <cell r="Q239">
            <v>13368.75</v>
          </cell>
          <cell r="R239">
            <v>596148.28700000001</v>
          </cell>
          <cell r="S239">
            <v>651590.07769099995</v>
          </cell>
          <cell r="T239">
            <v>596157.36505032028</v>
          </cell>
          <cell r="U239">
            <v>651600</v>
          </cell>
          <cell r="W239">
            <v>651600</v>
          </cell>
          <cell r="AA239">
            <v>651600</v>
          </cell>
          <cell r="AC239">
            <v>651600</v>
          </cell>
          <cell r="AF239">
            <v>651600</v>
          </cell>
          <cell r="AH239">
            <v>-5951</v>
          </cell>
          <cell r="AI239">
            <v>645649</v>
          </cell>
          <cell r="AN239">
            <v>645649</v>
          </cell>
          <cell r="AO239">
            <v>645700</v>
          </cell>
          <cell r="AP239">
            <v>645649</v>
          </cell>
          <cell r="AQ239">
            <v>64564.9</v>
          </cell>
          <cell r="AR239">
            <v>10000</v>
          </cell>
          <cell r="AS239">
            <v>54564.9</v>
          </cell>
          <cell r="AT239">
            <v>581084.1</v>
          </cell>
          <cell r="AU239">
            <v>3967.9599992768585</v>
          </cell>
          <cell r="AV239">
            <v>310.12417657822499</v>
          </cell>
          <cell r="AW239">
            <v>188.31429166666666</v>
          </cell>
          <cell r="AX239">
            <v>4466.3984675217498</v>
          </cell>
          <cell r="AY239" t="e">
            <v>#REF!</v>
          </cell>
          <cell r="BF239" t="str">
            <v>PCV</v>
          </cell>
          <cell r="BG239" t="str">
            <v>Secretos, S.A.</v>
          </cell>
          <cell r="BH239" t="str">
            <v>Alexander Franco</v>
          </cell>
          <cell r="BL239">
            <v>1</v>
          </cell>
          <cell r="BN239">
            <v>1</v>
          </cell>
          <cell r="BO239">
            <v>645700</v>
          </cell>
          <cell r="BP239">
            <v>-5900</v>
          </cell>
        </row>
        <row r="240">
          <cell r="B240">
            <v>1314</v>
          </cell>
          <cell r="C240" t="str">
            <v>A11</v>
          </cell>
          <cell r="D240">
            <v>41.2</v>
          </cell>
          <cell r="E240">
            <v>1</v>
          </cell>
          <cell r="F240">
            <v>0</v>
          </cell>
          <cell r="G240">
            <v>1.71</v>
          </cell>
          <cell r="H240">
            <v>1</v>
          </cell>
          <cell r="L240" t="str">
            <v>IGUAL</v>
          </cell>
          <cell r="M240" t="str">
            <v>S-4_256</v>
          </cell>
          <cell r="N240" t="str">
            <v>S4_256</v>
          </cell>
          <cell r="O240" t="str">
            <v>S4_184</v>
          </cell>
          <cell r="P240" t="str">
            <v>MISMO SÓTANO</v>
          </cell>
          <cell r="Q240">
            <v>12710</v>
          </cell>
          <cell r="R240">
            <v>654645.24800000002</v>
          </cell>
          <cell r="S240">
            <v>715527.25606399996</v>
          </cell>
          <cell r="T240">
            <v>654711.80237877404</v>
          </cell>
          <cell r="U240">
            <v>715600</v>
          </cell>
          <cell r="W240">
            <v>715600</v>
          </cell>
          <cell r="AA240">
            <v>715600</v>
          </cell>
          <cell r="AC240">
            <v>715600</v>
          </cell>
          <cell r="AF240">
            <v>715600</v>
          </cell>
          <cell r="AH240">
            <v>0</v>
          </cell>
          <cell r="AI240">
            <v>715600</v>
          </cell>
          <cell r="AN240">
            <v>715600</v>
          </cell>
          <cell r="AO240">
            <v>715600</v>
          </cell>
          <cell r="AP240">
            <v>715600</v>
          </cell>
          <cell r="AQ240">
            <v>71560</v>
          </cell>
          <cell r="AR240">
            <v>10000</v>
          </cell>
          <cell r="AS240">
            <v>61560</v>
          </cell>
          <cell r="AT240">
            <v>644040</v>
          </cell>
          <cell r="AU240">
            <v>4397.8573117630785</v>
          </cell>
          <cell r="AV240">
            <v>343.72369624885636</v>
          </cell>
          <cell r="AW240">
            <v>208.71666666666667</v>
          </cell>
          <cell r="AX240">
            <v>4950.2976746786007</v>
          </cell>
          <cell r="AY240" t="e">
            <v>#REF!</v>
          </cell>
          <cell r="BF240" t="str">
            <v>PCV</v>
          </cell>
          <cell r="BG240" t="str">
            <v>Sidney Osorio</v>
          </cell>
          <cell r="BH240" t="str">
            <v>Brenda Búcaro</v>
          </cell>
          <cell r="BL240">
            <v>1</v>
          </cell>
          <cell r="BM240">
            <v>1</v>
          </cell>
          <cell r="BN240">
            <v>1</v>
          </cell>
          <cell r="BO240">
            <v>715600</v>
          </cell>
          <cell r="BP240">
            <v>0</v>
          </cell>
        </row>
        <row r="241">
          <cell r="B241">
            <v>1315</v>
          </cell>
          <cell r="C241" t="str">
            <v>B4</v>
          </cell>
          <cell r="D241">
            <v>49.77</v>
          </cell>
          <cell r="E241">
            <v>2</v>
          </cell>
          <cell r="G241">
            <v>1.49</v>
          </cell>
          <cell r="H241">
            <v>1</v>
          </cell>
          <cell r="L241" t="str">
            <v>IGUAL</v>
          </cell>
          <cell r="M241" t="str">
            <v>S-2_53</v>
          </cell>
          <cell r="N241" t="str">
            <v>S2_53</v>
          </cell>
          <cell r="O241" t="str">
            <v>S2_30</v>
          </cell>
          <cell r="P241" t="str">
            <v>MISMO SÓTANO</v>
          </cell>
          <cell r="Q241">
            <v>13175</v>
          </cell>
          <cell r="R241">
            <v>785298.66200000001</v>
          </cell>
          <cell r="S241">
            <v>858331.43756600004</v>
          </cell>
          <cell r="T241">
            <v>785361.39066788659</v>
          </cell>
          <cell r="U241">
            <v>858400</v>
          </cell>
          <cell r="V241">
            <v>43000</v>
          </cell>
          <cell r="W241">
            <v>901400</v>
          </cell>
          <cell r="AA241">
            <v>901400</v>
          </cell>
          <cell r="AC241">
            <v>901400</v>
          </cell>
          <cell r="AF241">
            <v>901400</v>
          </cell>
          <cell r="AG241">
            <v>153238</v>
          </cell>
          <cell r="AH241">
            <v>17580.69827634003</v>
          </cell>
          <cell r="AI241">
            <v>1072218.69827634</v>
          </cell>
          <cell r="AJ241">
            <v>75055.308879343807</v>
          </cell>
          <cell r="AN241">
            <v>1147274.0071556838</v>
          </cell>
          <cell r="AO241">
            <v>1147300</v>
          </cell>
          <cell r="AP241">
            <v>1072274.01</v>
          </cell>
          <cell r="AQ241">
            <v>107221.86982763401</v>
          </cell>
          <cell r="AR241">
            <v>10000</v>
          </cell>
          <cell r="AS241">
            <v>97221.869827634015</v>
          </cell>
          <cell r="AT241">
            <v>964996.82844870607</v>
          </cell>
          <cell r="AU241">
            <v>6589.5260508995143</v>
          </cell>
          <cell r="AV241">
            <v>515.01813046210293</v>
          </cell>
          <cell r="AW241">
            <v>312.73045366393251</v>
          </cell>
          <cell r="AX241">
            <v>7417.2746350255493</v>
          </cell>
          <cell r="AY241" t="e">
            <v>#REF!</v>
          </cell>
          <cell r="BF241" t="str">
            <v>PCV</v>
          </cell>
          <cell r="BG241" t="str">
            <v>Alan Richard Gonzalez Choc</v>
          </cell>
          <cell r="BH241" t="str">
            <v>Anahi Cisneros</v>
          </cell>
          <cell r="BI241">
            <v>45856</v>
          </cell>
          <cell r="BL241" t="str">
            <v>Perfilan</v>
          </cell>
          <cell r="BN241">
            <v>1</v>
          </cell>
          <cell r="BO241">
            <v>901400</v>
          </cell>
          <cell r="BP241">
            <v>0</v>
          </cell>
        </row>
        <row r="242">
          <cell r="B242">
            <v>1316</v>
          </cell>
          <cell r="C242" t="str">
            <v>B3</v>
          </cell>
          <cell r="D242">
            <v>48.96</v>
          </cell>
          <cell r="E242">
            <v>2</v>
          </cell>
          <cell r="F242">
            <v>0</v>
          </cell>
          <cell r="G242">
            <v>1.26</v>
          </cell>
          <cell r="H242">
            <v>1</v>
          </cell>
          <cell r="L242" t="str">
            <v>IGUAL</v>
          </cell>
          <cell r="M242" t="str">
            <v>S-2_54</v>
          </cell>
          <cell r="N242" t="str">
            <v>S2_54</v>
          </cell>
          <cell r="O242" t="str">
            <v>S2_31</v>
          </cell>
          <cell r="P242" t="str">
            <v>MISMO SÓTANO</v>
          </cell>
          <cell r="Q242">
            <v>13175</v>
          </cell>
          <cell r="R242">
            <v>773148.28799999994</v>
          </cell>
          <cell r="S242">
            <v>845051.0787839999</v>
          </cell>
          <cell r="T242">
            <v>773193.04666056728</v>
          </cell>
          <cell r="U242">
            <v>845100</v>
          </cell>
          <cell r="V242">
            <v>42300</v>
          </cell>
          <cell r="W242">
            <v>887400</v>
          </cell>
          <cell r="AA242">
            <v>887400</v>
          </cell>
          <cell r="AC242">
            <v>887400</v>
          </cell>
          <cell r="AF242">
            <v>887400</v>
          </cell>
          <cell r="AH242">
            <v>-8118.9399999999441</v>
          </cell>
          <cell r="AI242">
            <v>879281.06</v>
          </cell>
          <cell r="AN242">
            <v>879281.06</v>
          </cell>
          <cell r="AO242">
            <v>879300</v>
          </cell>
          <cell r="AP242">
            <v>879281.06</v>
          </cell>
          <cell r="AQ242">
            <v>87928.106000000014</v>
          </cell>
          <cell r="AR242">
            <v>10000</v>
          </cell>
          <cell r="AS242">
            <v>77928.106000000014</v>
          </cell>
          <cell r="AT242">
            <v>791352.95400000003</v>
          </cell>
          <cell r="AU242">
            <v>5403.7907194183772</v>
          </cell>
          <cell r="AV242">
            <v>422.34451646843542</v>
          </cell>
          <cell r="AW242">
            <v>256.45697583333339</v>
          </cell>
          <cell r="AX242">
            <v>6082.5922117201462</v>
          </cell>
          <cell r="AY242" t="e">
            <v>#REF!</v>
          </cell>
          <cell r="BF242" t="str">
            <v>PCV</v>
          </cell>
          <cell r="BG242" t="str">
            <v>Juan Ernesto Vossberg Ordoñez.</v>
          </cell>
          <cell r="BH242" t="str">
            <v>Antonio Rada</v>
          </cell>
          <cell r="BL242">
            <v>1</v>
          </cell>
          <cell r="BN242">
            <v>1</v>
          </cell>
          <cell r="BO242">
            <v>887400</v>
          </cell>
          <cell r="BP242">
            <v>0</v>
          </cell>
        </row>
        <row r="243">
          <cell r="B243">
            <v>1317</v>
          </cell>
          <cell r="C243" t="str">
            <v>D4</v>
          </cell>
          <cell r="D243">
            <v>65.09</v>
          </cell>
          <cell r="E243">
            <v>3</v>
          </cell>
          <cell r="F243">
            <v>1</v>
          </cell>
          <cell r="G243">
            <v>1.49</v>
          </cell>
          <cell r="I243">
            <v>1</v>
          </cell>
          <cell r="J243">
            <v>71</v>
          </cell>
          <cell r="K243">
            <v>74</v>
          </cell>
          <cell r="L243" t="str">
            <v>DIFERENTE</v>
          </cell>
          <cell r="M243" t="str">
            <v>S-3_230-231</v>
          </cell>
          <cell r="N243" t="str">
            <v>S3_230-231</v>
          </cell>
          <cell r="O243" t="str">
            <v>S3_159</v>
          </cell>
          <cell r="P243" t="str">
            <v>MISMO SÓTANO</v>
          </cell>
          <cell r="Q243">
            <v>12710</v>
          </cell>
          <cell r="R243">
            <v>1119016.8119999999</v>
          </cell>
          <cell r="S243">
            <v>1223085.375516</v>
          </cell>
          <cell r="T243">
            <v>1119030.1921317475</v>
          </cell>
          <cell r="U243">
            <v>1223100</v>
          </cell>
          <cell r="V243">
            <v>30600</v>
          </cell>
          <cell r="W243">
            <v>1253700</v>
          </cell>
          <cell r="AA243">
            <v>1253700</v>
          </cell>
          <cell r="AC243">
            <v>1253700</v>
          </cell>
          <cell r="AF243">
            <v>1253700</v>
          </cell>
          <cell r="AG243">
            <v>62685</v>
          </cell>
          <cell r="AH243">
            <v>0</v>
          </cell>
          <cell r="AI243">
            <v>1316385</v>
          </cell>
          <cell r="AN243">
            <v>1316385</v>
          </cell>
          <cell r="AO243">
            <v>1316400</v>
          </cell>
          <cell r="AP243">
            <v>1316385</v>
          </cell>
          <cell r="AQ243">
            <v>131638.5</v>
          </cell>
          <cell r="AR243">
            <v>10000</v>
          </cell>
          <cell r="AS243">
            <v>121638.5</v>
          </cell>
          <cell r="AT243">
            <v>1184746.5</v>
          </cell>
          <cell r="AU243">
            <v>8090.0969778441031</v>
          </cell>
          <cell r="AV243">
            <v>632.29837602927716</v>
          </cell>
          <cell r="AW243">
            <v>383.94562500000001</v>
          </cell>
          <cell r="AX243">
            <v>9106.3409788733807</v>
          </cell>
          <cell r="AY243" t="e">
            <v>#REF!</v>
          </cell>
          <cell r="BF243" t="str">
            <v>PCV</v>
          </cell>
          <cell r="BG243" t="str">
            <v>Marcos David Boror Alpirez</v>
          </cell>
          <cell r="BH243" t="str">
            <v xml:space="preserve">Antonio Rada </v>
          </cell>
          <cell r="BI243">
            <v>45525</v>
          </cell>
          <cell r="BL243" t="str">
            <v>Pagina Web</v>
          </cell>
          <cell r="BN243">
            <v>1</v>
          </cell>
          <cell r="BO243">
            <v>1253700</v>
          </cell>
          <cell r="BP243">
            <v>0</v>
          </cell>
        </row>
        <row r="244">
          <cell r="B244">
            <v>1318</v>
          </cell>
          <cell r="C244" t="str">
            <v>D1</v>
          </cell>
          <cell r="D244">
            <v>64.959999999999994</v>
          </cell>
          <cell r="E244">
            <v>3</v>
          </cell>
          <cell r="F244">
            <v>1</v>
          </cell>
          <cell r="G244">
            <v>3.38</v>
          </cell>
          <cell r="I244">
            <v>1</v>
          </cell>
          <cell r="J244">
            <v>18</v>
          </cell>
          <cell r="K244">
            <v>23</v>
          </cell>
          <cell r="L244" t="str">
            <v>DIFERENTE</v>
          </cell>
          <cell r="M244" t="str">
            <v>S-2_85-86</v>
          </cell>
          <cell r="N244" t="str">
            <v>S2_85-86</v>
          </cell>
          <cell r="O244" t="str">
            <v>S2_63</v>
          </cell>
          <cell r="P244" t="str">
            <v>MISMO SÓTANO</v>
          </cell>
          <cell r="Q244">
            <v>12710</v>
          </cell>
          <cell r="R244">
            <v>1129514.9440000001</v>
          </cell>
          <cell r="S244">
            <v>1234559.8337920001</v>
          </cell>
          <cell r="T244">
            <v>1129551.6925892041</v>
          </cell>
          <cell r="U244">
            <v>1234600</v>
          </cell>
          <cell r="V244">
            <v>30900</v>
          </cell>
          <cell r="W244">
            <v>1265500</v>
          </cell>
          <cell r="AA244">
            <v>1265500</v>
          </cell>
          <cell r="AC244">
            <v>1265500</v>
          </cell>
          <cell r="AF244">
            <v>1265500</v>
          </cell>
          <cell r="AG244">
            <v>63275</v>
          </cell>
          <cell r="AH244">
            <v>22150.531606239965</v>
          </cell>
          <cell r="AI244">
            <v>1350925.53160624</v>
          </cell>
          <cell r="AJ244">
            <v>148601.80847668639</v>
          </cell>
          <cell r="AK244">
            <v>10000</v>
          </cell>
          <cell r="AN244">
            <v>1509527.3400829264</v>
          </cell>
          <cell r="AO244">
            <v>1509600</v>
          </cell>
          <cell r="AP244">
            <v>1509600</v>
          </cell>
          <cell r="AQ244">
            <v>135092.553160624</v>
          </cell>
          <cell r="AR244">
            <v>10000</v>
          </cell>
          <cell r="AS244">
            <v>125092.553160624</v>
          </cell>
          <cell r="AT244">
            <v>1215832.9784456161</v>
          </cell>
          <cell r="AU244">
            <v>8302.3724522385783</v>
          </cell>
          <cell r="AV244">
            <v>648.88920777060935</v>
          </cell>
          <cell r="AW244">
            <v>394.01994671848666</v>
          </cell>
          <cell r="AX244">
            <v>9345.2816067276744</v>
          </cell>
          <cell r="AY244" t="e">
            <v>#REF!</v>
          </cell>
          <cell r="BF244" t="str">
            <v>PCV</v>
          </cell>
          <cell r="BG244" t="str">
            <v>Jose Alejandro Abalony Rojas</v>
          </cell>
          <cell r="BH244" t="str">
            <v>Erwin Cardona</v>
          </cell>
          <cell r="BI244">
            <v>45993</v>
          </cell>
          <cell r="BL244" t="str">
            <v>Lead PBX</v>
          </cell>
          <cell r="BN244">
            <v>1</v>
          </cell>
          <cell r="BO244">
            <v>1265500</v>
          </cell>
          <cell r="BP244">
            <v>0</v>
          </cell>
        </row>
        <row r="245">
          <cell r="B245">
            <v>1401</v>
          </cell>
          <cell r="C245" t="str">
            <v>D12</v>
          </cell>
          <cell r="D245">
            <v>59.5</v>
          </cell>
          <cell r="E245">
            <v>3</v>
          </cell>
          <cell r="F245">
            <v>1</v>
          </cell>
          <cell r="G245">
            <v>1.26</v>
          </cell>
          <cell r="I245">
            <v>1</v>
          </cell>
          <cell r="J245">
            <v>43</v>
          </cell>
          <cell r="K245">
            <v>46</v>
          </cell>
          <cell r="L245" t="str">
            <v>DIFERENTE</v>
          </cell>
          <cell r="M245" t="str">
            <v>S-3_176-177</v>
          </cell>
          <cell r="N245" t="str">
            <v>S3_176-177</v>
          </cell>
          <cell r="O245" t="str">
            <v>S3_131</v>
          </cell>
          <cell r="P245" t="str">
            <v>MISMO SÓTANO</v>
          </cell>
          <cell r="Q245">
            <v>12710</v>
          </cell>
          <cell r="R245">
            <v>1046489.2879999999</v>
          </cell>
          <cell r="S245">
            <v>1143812.7917839999</v>
          </cell>
          <cell r="T245">
            <v>1046569.0759377859</v>
          </cell>
          <cell r="U245">
            <v>1143900</v>
          </cell>
          <cell r="V245">
            <v>28600</v>
          </cell>
          <cell r="W245">
            <v>1172500</v>
          </cell>
          <cell r="AA245">
            <v>1172500</v>
          </cell>
          <cell r="AC245">
            <v>1172500</v>
          </cell>
          <cell r="AF245">
            <v>1172500</v>
          </cell>
          <cell r="AH245">
            <v>0</v>
          </cell>
          <cell r="AI245">
            <v>1172500</v>
          </cell>
          <cell r="AN245">
            <v>1172500</v>
          </cell>
          <cell r="AO245">
            <v>1172500</v>
          </cell>
          <cell r="AP245">
            <v>1172500</v>
          </cell>
          <cell r="AQ245">
            <v>117250</v>
          </cell>
          <cell r="AR245">
            <v>10000</v>
          </cell>
          <cell r="AS245">
            <v>107250</v>
          </cell>
          <cell r="AT245">
            <v>1055250</v>
          </cell>
          <cell r="AU245">
            <v>7205.8240609868772</v>
          </cell>
          <cell r="AV245">
            <v>563.18618481244278</v>
          </cell>
          <cell r="AW245">
            <v>341.97916666666669</v>
          </cell>
          <cell r="AX245">
            <v>8110.9894124659868</v>
          </cell>
          <cell r="AY245" t="e">
            <v>#REF!</v>
          </cell>
          <cell r="BF245" t="str">
            <v>PCV</v>
          </cell>
          <cell r="BG245" t="str">
            <v>Fernando García Coronado</v>
          </cell>
          <cell r="BH245" t="str">
            <v>Brenda Bucaro</v>
          </cell>
          <cell r="BM245">
            <v>1</v>
          </cell>
          <cell r="BN245">
            <v>1</v>
          </cell>
          <cell r="BO245">
            <v>1172500</v>
          </cell>
          <cell r="BP245">
            <v>0</v>
          </cell>
        </row>
        <row r="246">
          <cell r="B246">
            <v>1402</v>
          </cell>
          <cell r="C246" t="str">
            <v>D13</v>
          </cell>
          <cell r="D246">
            <v>60.9</v>
          </cell>
          <cell r="E246">
            <v>3</v>
          </cell>
          <cell r="F246">
            <v>1</v>
          </cell>
          <cell r="G246">
            <v>1.26</v>
          </cell>
          <cell r="I246">
            <v>1</v>
          </cell>
          <cell r="J246">
            <v>44</v>
          </cell>
          <cell r="K246">
            <v>47</v>
          </cell>
          <cell r="L246" t="str">
            <v>DIFERENTE</v>
          </cell>
          <cell r="M246" t="str">
            <v>S-3_178-179</v>
          </cell>
          <cell r="N246" t="str">
            <v>S3_178-179</v>
          </cell>
          <cell r="O246" t="str">
            <v>S3_132</v>
          </cell>
          <cell r="P246" t="str">
            <v>MISMO SÓTANO</v>
          </cell>
          <cell r="Q246">
            <v>12710</v>
          </cell>
          <cell r="R246">
            <v>1064283.2879999999</v>
          </cell>
          <cell r="S246">
            <v>1163261.6337839998</v>
          </cell>
          <cell r="T246">
            <v>1064318.3897529736</v>
          </cell>
          <cell r="U246">
            <v>1163300</v>
          </cell>
          <cell r="V246">
            <v>29100</v>
          </cell>
          <cell r="W246">
            <v>1192400</v>
          </cell>
          <cell r="AA246">
            <v>1192400</v>
          </cell>
          <cell r="AC246">
            <v>1192400</v>
          </cell>
          <cell r="AF246">
            <v>1192400</v>
          </cell>
          <cell r="AG246">
            <v>59620</v>
          </cell>
          <cell r="AH246">
            <v>0</v>
          </cell>
          <cell r="AI246">
            <v>1252020</v>
          </cell>
          <cell r="AN246">
            <v>1252020</v>
          </cell>
          <cell r="AO246">
            <v>1252100</v>
          </cell>
          <cell r="AP246">
            <v>1252020</v>
          </cell>
          <cell r="AQ246">
            <v>125202</v>
          </cell>
          <cell r="AR246">
            <v>10000</v>
          </cell>
          <cell r="AS246">
            <v>115202</v>
          </cell>
          <cell r="AT246">
            <v>1126818</v>
          </cell>
          <cell r="AU246">
            <v>7694.5295017797789</v>
          </cell>
          <cell r="AV246">
            <v>601.38197621225981</v>
          </cell>
          <cell r="AW246">
            <v>365.17249999999996</v>
          </cell>
          <cell r="AX246">
            <v>8661.0839779920389</v>
          </cell>
          <cell r="AY246" t="e">
            <v>#REF!</v>
          </cell>
          <cell r="BF246" t="str">
            <v>PCV</v>
          </cell>
          <cell r="BG246" t="str">
            <v>Marlen Faviola Izaguirre Navas</v>
          </cell>
          <cell r="BH246" t="str">
            <v xml:space="preserve">Antonio Rada </v>
          </cell>
          <cell r="BI246">
            <v>45572</v>
          </cell>
          <cell r="BL246" t="str">
            <v>FB Lead</v>
          </cell>
          <cell r="BN246">
            <v>1</v>
          </cell>
          <cell r="BO246">
            <v>1192400</v>
          </cell>
          <cell r="BP246">
            <v>0</v>
          </cell>
        </row>
        <row r="247">
          <cell r="B247">
            <v>1403</v>
          </cell>
          <cell r="C247" t="str">
            <v>B6</v>
          </cell>
          <cell r="D247">
            <v>50.03</v>
          </cell>
          <cell r="E247">
            <v>2</v>
          </cell>
          <cell r="G247">
            <v>1.26</v>
          </cell>
          <cell r="H247">
            <v>1</v>
          </cell>
          <cell r="L247" t="str">
            <v>IGUAL</v>
          </cell>
          <cell r="M247" t="str">
            <v>S-2_55</v>
          </cell>
          <cell r="N247" t="str">
            <v>S2_55</v>
          </cell>
          <cell r="O247" t="str">
            <v>S2_32</v>
          </cell>
          <cell r="P247" t="str">
            <v>MISMO SÓTANO</v>
          </cell>
          <cell r="Q247">
            <v>13175</v>
          </cell>
          <cell r="R247">
            <v>787245.53799999994</v>
          </cell>
          <cell r="S247">
            <v>860459.37303399993</v>
          </cell>
          <cell r="T247">
            <v>787282.70814272645</v>
          </cell>
          <cell r="U247">
            <v>860500</v>
          </cell>
          <cell r="W247">
            <v>860500</v>
          </cell>
          <cell r="AA247">
            <v>860500</v>
          </cell>
          <cell r="AC247">
            <v>860500</v>
          </cell>
          <cell r="AF247">
            <v>860500</v>
          </cell>
          <cell r="AH247">
            <v>-7872.4553800000576</v>
          </cell>
          <cell r="AI247">
            <v>852627.54461999994</v>
          </cell>
          <cell r="AN247">
            <v>852627.54461999994</v>
          </cell>
          <cell r="AO247">
            <v>852700</v>
          </cell>
          <cell r="AP247">
            <v>852627.54</v>
          </cell>
          <cell r="AQ247">
            <v>85262.754461999997</v>
          </cell>
          <cell r="AR247">
            <v>10000</v>
          </cell>
          <cell r="AS247">
            <v>75262.754461999997</v>
          </cell>
          <cell r="AT247">
            <v>767364.79015799996</v>
          </cell>
          <cell r="AU247">
            <v>5239.9864188340798</v>
          </cell>
          <cell r="AV247">
            <v>409.54205025205846</v>
          </cell>
          <cell r="AW247">
            <v>248.68303384750001</v>
          </cell>
          <cell r="AX247">
            <v>5898.2115029336383</v>
          </cell>
          <cell r="AY247" t="e">
            <v>#REF!</v>
          </cell>
          <cell r="BF247" t="str">
            <v>PCV</v>
          </cell>
          <cell r="BG247" t="str">
            <v>Mercedes Lizarralde/Federico Franco</v>
          </cell>
          <cell r="BH247" t="str">
            <v>Antonio Rada</v>
          </cell>
          <cell r="BJ247">
            <v>1</v>
          </cell>
          <cell r="BM247">
            <v>1</v>
          </cell>
          <cell r="BN247">
            <v>1</v>
          </cell>
          <cell r="BO247">
            <v>852700</v>
          </cell>
          <cell r="BP247">
            <v>-7800</v>
          </cell>
        </row>
        <row r="248">
          <cell r="B248">
            <v>1404</v>
          </cell>
          <cell r="C248" t="str">
            <v>B1</v>
          </cell>
          <cell r="D248">
            <v>48.69</v>
          </cell>
          <cell r="E248">
            <v>2</v>
          </cell>
          <cell r="G248">
            <v>1.26</v>
          </cell>
          <cell r="H248">
            <v>1</v>
          </cell>
          <cell r="L248" t="str">
            <v>IGUAL</v>
          </cell>
          <cell r="M248" t="str">
            <v>S-2_56</v>
          </cell>
          <cell r="N248" t="str">
            <v>S2_56</v>
          </cell>
          <cell r="O248" t="str">
            <v>S2_33</v>
          </cell>
          <cell r="P248" t="str">
            <v>MISMO SÓTANO</v>
          </cell>
          <cell r="Q248">
            <v>13175</v>
          </cell>
          <cell r="R248">
            <v>769591.03799999994</v>
          </cell>
          <cell r="S248">
            <v>841163.00453399995</v>
          </cell>
          <cell r="T248">
            <v>769624.88563586457</v>
          </cell>
          <cell r="U248">
            <v>841200</v>
          </cell>
          <cell r="W248">
            <v>841200</v>
          </cell>
          <cell r="AA248">
            <v>841200</v>
          </cell>
          <cell r="AC248">
            <v>841200</v>
          </cell>
          <cell r="AF248">
            <v>841200</v>
          </cell>
          <cell r="AH248">
            <v>8371</v>
          </cell>
          <cell r="AI248">
            <v>849571</v>
          </cell>
          <cell r="AN248">
            <v>849571</v>
          </cell>
          <cell r="AO248">
            <v>849600</v>
          </cell>
          <cell r="AP248">
            <v>849571</v>
          </cell>
          <cell r="AQ248">
            <v>84957.1</v>
          </cell>
          <cell r="AR248">
            <v>10000</v>
          </cell>
          <cell r="AS248">
            <v>74957.100000000006</v>
          </cell>
          <cell r="AT248">
            <v>764613.9</v>
          </cell>
          <cell r="AU248">
            <v>5221.2018365174263</v>
          </cell>
          <cell r="AV248">
            <v>408.07390210430003</v>
          </cell>
          <cell r="AW248">
            <v>247.79154166666669</v>
          </cell>
          <cell r="AX248">
            <v>5877.0672802883928</v>
          </cell>
          <cell r="AY248" t="e">
            <v>#REF!</v>
          </cell>
          <cell r="BF248" t="str">
            <v>PCV</v>
          </cell>
          <cell r="BG248" t="str">
            <v>Diego Román</v>
          </cell>
          <cell r="BH248" t="str">
            <v>Alexander Franco</v>
          </cell>
          <cell r="BJ248">
            <v>1</v>
          </cell>
          <cell r="BM248">
            <v>1</v>
          </cell>
          <cell r="BN248">
            <v>1</v>
          </cell>
          <cell r="BO248">
            <v>825900</v>
          </cell>
          <cell r="BP248">
            <v>-15300</v>
          </cell>
        </row>
        <row r="249">
          <cell r="B249">
            <v>1405</v>
          </cell>
          <cell r="C249" t="str">
            <v>E2</v>
          </cell>
          <cell r="D249">
            <v>70.81</v>
          </cell>
          <cell r="E249">
            <v>3</v>
          </cell>
          <cell r="F249">
            <v>1</v>
          </cell>
          <cell r="G249">
            <v>1.26</v>
          </cell>
          <cell r="I249">
            <v>1</v>
          </cell>
          <cell r="J249">
            <v>56</v>
          </cell>
          <cell r="K249">
            <v>59</v>
          </cell>
          <cell r="L249" t="str">
            <v>DIFERENTE</v>
          </cell>
          <cell r="M249" t="str">
            <v>S-3_198-199</v>
          </cell>
          <cell r="N249" t="str">
            <v>S3_198-199</v>
          </cell>
          <cell r="O249" t="str">
            <v>S3_142</v>
          </cell>
          <cell r="P249" t="str">
            <v>MISMO SÓTANO</v>
          </cell>
          <cell r="Q249">
            <v>12710</v>
          </cell>
          <cell r="R249">
            <v>1190239.388</v>
          </cell>
          <cell r="S249">
            <v>1300931.651084</v>
          </cell>
          <cell r="T249">
            <v>1190301.9213174749</v>
          </cell>
          <cell r="U249">
            <v>1301000</v>
          </cell>
          <cell r="V249">
            <v>32600</v>
          </cell>
          <cell r="W249">
            <v>1333600</v>
          </cell>
          <cell r="AA249">
            <v>1333600</v>
          </cell>
          <cell r="AC249">
            <v>1333600</v>
          </cell>
          <cell r="AF249">
            <v>1333600</v>
          </cell>
          <cell r="AH249">
            <v>-32600</v>
          </cell>
          <cell r="AI249">
            <v>1301000</v>
          </cell>
          <cell r="AN249">
            <v>1301000</v>
          </cell>
          <cell r="AO249">
            <v>1301000</v>
          </cell>
          <cell r="AP249">
            <v>1301000</v>
          </cell>
          <cell r="AQ249">
            <v>130100</v>
          </cell>
          <cell r="AR249">
            <v>10000</v>
          </cell>
          <cell r="AS249">
            <v>120100</v>
          </cell>
          <cell r="AT249">
            <v>1170900</v>
          </cell>
          <cell r="AU249">
            <v>7995.5455039180615</v>
          </cell>
          <cell r="AV249">
            <v>624.90850869167423</v>
          </cell>
          <cell r="AW249">
            <v>379.45833333333331</v>
          </cell>
          <cell r="AX249">
            <v>8999.9123459430702</v>
          </cell>
          <cell r="AY249" t="e">
            <v>#REF!</v>
          </cell>
          <cell r="BF249" t="str">
            <v>PCV</v>
          </cell>
          <cell r="BG249" t="str">
            <v xml:space="preserve">Fabiola Artero </v>
          </cell>
          <cell r="BH249" t="str">
            <v xml:space="preserve">Antonio Rada </v>
          </cell>
          <cell r="BL249">
            <v>1</v>
          </cell>
          <cell r="BO249">
            <v>1333600</v>
          </cell>
          <cell r="BP249">
            <v>0</v>
          </cell>
        </row>
        <row r="250">
          <cell r="B250">
            <v>1406</v>
          </cell>
          <cell r="C250" t="str">
            <v>A2</v>
          </cell>
          <cell r="D250">
            <v>34.9</v>
          </cell>
          <cell r="E250">
            <v>1</v>
          </cell>
          <cell r="G250">
            <v>1.49</v>
          </cell>
          <cell r="H250">
            <v>1</v>
          </cell>
          <cell r="L250" t="str">
            <v>IGUAL</v>
          </cell>
          <cell r="M250" t="str">
            <v>S-4_253</v>
          </cell>
          <cell r="N250" t="str">
            <v>S4_253</v>
          </cell>
          <cell r="O250" t="str">
            <v>S4_181</v>
          </cell>
          <cell r="P250" t="str">
            <v>MISMO SÓTANO</v>
          </cell>
          <cell r="Q250">
            <v>13368.75</v>
          </cell>
          <cell r="R250">
            <v>596148.28700000001</v>
          </cell>
          <cell r="S250">
            <v>651590.07769099995</v>
          </cell>
          <cell r="T250">
            <v>596157.36505032028</v>
          </cell>
          <cell r="U250">
            <v>651600</v>
          </cell>
          <cell r="W250">
            <v>651600</v>
          </cell>
          <cell r="AA250">
            <v>651600</v>
          </cell>
          <cell r="AC250">
            <v>651600</v>
          </cell>
          <cell r="AF250">
            <v>651600</v>
          </cell>
          <cell r="AH250">
            <v>0</v>
          </cell>
          <cell r="AI250">
            <v>651600</v>
          </cell>
          <cell r="AN250">
            <v>651600</v>
          </cell>
          <cell r="AO250">
            <v>651600</v>
          </cell>
          <cell r="AP250">
            <v>651600</v>
          </cell>
          <cell r="AQ250">
            <v>65160</v>
          </cell>
          <cell r="AR250">
            <v>10000</v>
          </cell>
          <cell r="AS250">
            <v>55160</v>
          </cell>
          <cell r="AT250">
            <v>586440</v>
          </cell>
          <cell r="AU250">
            <v>4004.5330133382081</v>
          </cell>
          <cell r="AV250">
            <v>312.98261665141814</v>
          </cell>
          <cell r="AW250">
            <v>190.04999999999998</v>
          </cell>
          <cell r="AX250">
            <v>4507.5656299896264</v>
          </cell>
          <cell r="AY250" t="e">
            <v>#REF!</v>
          </cell>
          <cell r="BF250" t="str">
            <v>PCV</v>
          </cell>
          <cell r="BG250" t="str">
            <v>Hans Donis</v>
          </cell>
          <cell r="BH250" t="str">
            <v>Alexander Franco</v>
          </cell>
          <cell r="BL250">
            <v>1</v>
          </cell>
          <cell r="BM250">
            <v>1</v>
          </cell>
          <cell r="BN250">
            <v>1</v>
          </cell>
          <cell r="BO250">
            <v>651600</v>
          </cell>
          <cell r="BP250">
            <v>0</v>
          </cell>
        </row>
        <row r="251">
          <cell r="B251">
            <v>1407</v>
          </cell>
          <cell r="C251" t="str">
            <v>B5</v>
          </cell>
          <cell r="D251">
            <v>52.51</v>
          </cell>
          <cell r="E251">
            <v>2</v>
          </cell>
          <cell r="F251">
            <v>1</v>
          </cell>
          <cell r="G251">
            <v>1.35</v>
          </cell>
          <cell r="I251">
            <v>1</v>
          </cell>
          <cell r="J251">
            <v>45</v>
          </cell>
          <cell r="K251">
            <v>48</v>
          </cell>
          <cell r="L251" t="str">
            <v>DIFERENTE</v>
          </cell>
          <cell r="M251" t="str">
            <v>S-3_180-181</v>
          </cell>
          <cell r="N251" t="str">
            <v>S3_180-181</v>
          </cell>
          <cell r="O251" t="str">
            <v>S3_133</v>
          </cell>
          <cell r="P251" t="str">
            <v>MISMO SÓTANO</v>
          </cell>
          <cell r="Q251">
            <v>13175</v>
          </cell>
          <cell r="R251">
            <v>982642.13</v>
          </cell>
          <cell r="S251">
            <v>1074027.84809</v>
          </cell>
          <cell r="T251">
            <v>982708.14272644103</v>
          </cell>
          <cell r="U251">
            <v>1074100</v>
          </cell>
          <cell r="W251">
            <v>1074100</v>
          </cell>
          <cell r="AA251">
            <v>1074100</v>
          </cell>
          <cell r="AC251">
            <v>1074100</v>
          </cell>
          <cell r="AF251">
            <v>1074100</v>
          </cell>
          <cell r="AH251">
            <v>0</v>
          </cell>
          <cell r="AI251">
            <v>1074100</v>
          </cell>
          <cell r="AN251">
            <v>1074100</v>
          </cell>
          <cell r="AO251">
            <v>1074100</v>
          </cell>
          <cell r="AP251">
            <v>1074100</v>
          </cell>
          <cell r="AQ251">
            <v>107410</v>
          </cell>
          <cell r="AR251">
            <v>10000</v>
          </cell>
          <cell r="AS251">
            <v>97410</v>
          </cell>
          <cell r="AT251">
            <v>966690</v>
          </cell>
          <cell r="AU251">
            <v>6601.0879521586394</v>
          </cell>
          <cell r="AV251">
            <v>515.92177493138149</v>
          </cell>
          <cell r="AW251">
            <v>313.27916666666664</v>
          </cell>
          <cell r="AX251">
            <v>7430.2888937566868</v>
          </cell>
          <cell r="AY251" t="e">
            <v>#REF!</v>
          </cell>
          <cell r="BF251" t="str">
            <v>PCV</v>
          </cell>
          <cell r="BG251" t="str">
            <v>Jose Herrera</v>
          </cell>
          <cell r="BH251" t="str">
            <v>Junta Directiva</v>
          </cell>
          <cell r="BO251">
            <v>1074100</v>
          </cell>
          <cell r="BP251">
            <v>0</v>
          </cell>
        </row>
        <row r="252">
          <cell r="B252">
            <v>1408</v>
          </cell>
          <cell r="C252" t="str">
            <v>B8</v>
          </cell>
          <cell r="D252">
            <v>52.64</v>
          </cell>
          <cell r="E252">
            <v>2</v>
          </cell>
          <cell r="F252">
            <v>1</v>
          </cell>
          <cell r="G252">
            <v>1.26</v>
          </cell>
          <cell r="I252">
            <v>1</v>
          </cell>
          <cell r="J252">
            <v>46</v>
          </cell>
          <cell r="K252">
            <v>49</v>
          </cell>
          <cell r="L252" t="str">
            <v>DIFERENTE</v>
          </cell>
          <cell r="M252" t="str">
            <v>S-3_182-183</v>
          </cell>
          <cell r="N252" t="str">
            <v>S3_182-183</v>
          </cell>
          <cell r="O252" t="str">
            <v>S3_134</v>
          </cell>
          <cell r="P252" t="str">
            <v>MISMO SÓTANO</v>
          </cell>
          <cell r="Q252">
            <v>13175</v>
          </cell>
          <cell r="R252">
            <v>983776.28799999994</v>
          </cell>
          <cell r="S252">
            <v>1075267.482784</v>
          </cell>
          <cell r="T252">
            <v>983806.03842634952</v>
          </cell>
          <cell r="U252">
            <v>1075300</v>
          </cell>
          <cell r="V252">
            <v>53800</v>
          </cell>
          <cell r="W252">
            <v>1129100</v>
          </cell>
          <cell r="AA252">
            <v>1129100</v>
          </cell>
          <cell r="AC252">
            <v>1129100</v>
          </cell>
          <cell r="AF252">
            <v>1129100</v>
          </cell>
          <cell r="AG252">
            <v>180656</v>
          </cell>
          <cell r="AH252">
            <v>21833.486989489989</v>
          </cell>
          <cell r="AI252">
            <v>1331589.48698949</v>
          </cell>
          <cell r="AJ252">
            <v>93211.26408926431</v>
          </cell>
          <cell r="AK252">
            <v>10000</v>
          </cell>
          <cell r="AN252">
            <v>1434800.7510787542</v>
          </cell>
          <cell r="AO252">
            <v>1434900</v>
          </cell>
          <cell r="AP252">
            <v>1434900</v>
          </cell>
          <cell r="AQ252">
            <v>133158.94869894901</v>
          </cell>
          <cell r="AR252">
            <v>10000</v>
          </cell>
          <cell r="AS252">
            <v>123158.94869894901</v>
          </cell>
          <cell r="AT252">
            <v>1198430.5382905409</v>
          </cell>
          <cell r="AU252">
            <v>8183.5390743761527</v>
          </cell>
          <cell r="AV252">
            <v>639.60153766649785</v>
          </cell>
          <cell r="AW252">
            <v>388.38026703860123</v>
          </cell>
          <cell r="AX252">
            <v>9211.5208790812521</v>
          </cell>
          <cell r="AY252" t="e">
            <v>#REF!</v>
          </cell>
          <cell r="BF252" t="str">
            <v>Reservado</v>
          </cell>
          <cell r="BG252" t="str">
            <v>Yahayra Sujey Lemus Contreras de Mayén</v>
          </cell>
          <cell r="BH252" t="str">
            <v>Erwin Cardona</v>
          </cell>
          <cell r="BI252">
            <v>46047</v>
          </cell>
          <cell r="BK252">
            <v>1</v>
          </cell>
          <cell r="BM252">
            <v>1</v>
          </cell>
          <cell r="BN252">
            <v>1</v>
          </cell>
          <cell r="BO252">
            <v>1129100</v>
          </cell>
          <cell r="BP252">
            <v>0</v>
          </cell>
        </row>
        <row r="253">
          <cell r="B253">
            <v>1409</v>
          </cell>
          <cell r="C253" t="str">
            <v>B4</v>
          </cell>
          <cell r="D253">
            <v>49.77</v>
          </cell>
          <cell r="E253">
            <v>2</v>
          </cell>
          <cell r="G253">
            <v>1.49</v>
          </cell>
          <cell r="H253">
            <v>1</v>
          </cell>
          <cell r="L253" t="str">
            <v>IGUAL</v>
          </cell>
          <cell r="M253" t="str">
            <v>S-2_57</v>
          </cell>
          <cell r="N253" t="str">
            <v>S2_57</v>
          </cell>
          <cell r="O253" t="str">
            <v>S2_34</v>
          </cell>
          <cell r="P253" t="str">
            <v>MISMO SÓTANO</v>
          </cell>
          <cell r="Q253">
            <v>13175</v>
          </cell>
          <cell r="R253">
            <v>785298.66200000001</v>
          </cell>
          <cell r="S253">
            <v>858331.43756600004</v>
          </cell>
          <cell r="T253">
            <v>785361.39066788659</v>
          </cell>
          <cell r="U253">
            <v>858400</v>
          </cell>
          <cell r="W253">
            <v>858400</v>
          </cell>
          <cell r="AA253">
            <v>858400</v>
          </cell>
          <cell r="AC253">
            <v>858400</v>
          </cell>
          <cell r="AF253">
            <v>858400</v>
          </cell>
          <cell r="AG253">
            <v>0</v>
          </cell>
          <cell r="AH253">
            <v>0</v>
          </cell>
          <cell r="AI253">
            <v>858400</v>
          </cell>
          <cell r="AN253">
            <v>858400</v>
          </cell>
          <cell r="AO253">
            <v>858400</v>
          </cell>
          <cell r="AP253">
            <v>858400</v>
          </cell>
          <cell r="AQ253">
            <v>85840</v>
          </cell>
          <cell r="AR253">
            <v>10000</v>
          </cell>
          <cell r="AS253">
            <v>75840</v>
          </cell>
          <cell r="AT253">
            <v>772560</v>
          </cell>
          <cell r="AU253">
            <v>5275.4621526235696</v>
          </cell>
          <cell r="AV253">
            <v>412.31473010064042</v>
          </cell>
          <cell r="AW253">
            <v>250.36666666666667</v>
          </cell>
          <cell r="AX253">
            <v>5938.1435493908766</v>
          </cell>
          <cell r="AY253" t="e">
            <v>#REF!</v>
          </cell>
          <cell r="BF253" t="str">
            <v>PCV</v>
          </cell>
          <cell r="BG253" t="str">
            <v>International Coffee</v>
          </cell>
          <cell r="BH253" t="str">
            <v>Junta Directiva</v>
          </cell>
          <cell r="BO253">
            <v>858400</v>
          </cell>
          <cell r="BP253">
            <v>0</v>
          </cell>
        </row>
        <row r="254">
          <cell r="B254">
            <v>1410</v>
          </cell>
          <cell r="C254" t="str">
            <v>B3</v>
          </cell>
          <cell r="D254">
            <v>48.96</v>
          </cell>
          <cell r="E254">
            <v>2</v>
          </cell>
          <cell r="G254">
            <v>1.26</v>
          </cell>
          <cell r="H254">
            <v>1</v>
          </cell>
          <cell r="L254" t="str">
            <v>IGUAL</v>
          </cell>
          <cell r="M254" t="str">
            <v>S-2_58</v>
          </cell>
          <cell r="N254" t="str">
            <v>S2_58</v>
          </cell>
          <cell r="O254" t="str">
            <v>S2_35</v>
          </cell>
          <cell r="P254" t="str">
            <v>MISMO SÓTANO</v>
          </cell>
          <cell r="Q254">
            <v>13175</v>
          </cell>
          <cell r="R254">
            <v>773148.28799999994</v>
          </cell>
          <cell r="S254">
            <v>845051.0787839999</v>
          </cell>
          <cell r="T254">
            <v>773193.04666056728</v>
          </cell>
          <cell r="U254">
            <v>845100</v>
          </cell>
          <cell r="V254">
            <v>42300</v>
          </cell>
          <cell r="W254">
            <v>887400</v>
          </cell>
          <cell r="AA254">
            <v>887400</v>
          </cell>
          <cell r="AC254">
            <v>887400</v>
          </cell>
          <cell r="AF254">
            <v>887400</v>
          </cell>
          <cell r="AH254">
            <v>-42300</v>
          </cell>
          <cell r="AI254">
            <v>845100</v>
          </cell>
          <cell r="AN254">
            <v>845100</v>
          </cell>
          <cell r="AO254">
            <v>845100</v>
          </cell>
          <cell r="AP254">
            <v>887400</v>
          </cell>
          <cell r="AQ254">
            <v>84510</v>
          </cell>
          <cell r="AR254">
            <v>10000</v>
          </cell>
          <cell r="AS254">
            <v>74510</v>
          </cell>
          <cell r="AT254">
            <v>760590</v>
          </cell>
          <cell r="AU254">
            <v>5193.7244468571516</v>
          </cell>
          <cell r="AV254">
            <v>405.92634949679785</v>
          </cell>
          <cell r="AW254">
            <v>246.48749999999998</v>
          </cell>
          <cell r="AX254">
            <v>5846.13829635395</v>
          </cell>
          <cell r="AY254" t="e">
            <v>#REF!</v>
          </cell>
          <cell r="BF254" t="str">
            <v>PCV</v>
          </cell>
          <cell r="BG254" t="str">
            <v>Selvin Ramiro Gamez Perez</v>
          </cell>
          <cell r="BH254" t="str">
            <v>Antonio Rada</v>
          </cell>
          <cell r="BL254">
            <v>1</v>
          </cell>
          <cell r="BN254">
            <v>1</v>
          </cell>
          <cell r="BO254">
            <v>845100</v>
          </cell>
          <cell r="BP254">
            <v>-42300</v>
          </cell>
        </row>
        <row r="255">
          <cell r="B255">
            <v>1411</v>
          </cell>
          <cell r="C255" t="str">
            <v>E8</v>
          </cell>
          <cell r="D255">
            <v>74.260000000000005</v>
          </cell>
          <cell r="E255">
            <v>3</v>
          </cell>
          <cell r="F255">
            <v>1</v>
          </cell>
          <cell r="G255">
            <v>1.26</v>
          </cell>
          <cell r="I255">
            <v>1</v>
          </cell>
          <cell r="J255">
            <v>36</v>
          </cell>
          <cell r="K255">
            <v>41</v>
          </cell>
          <cell r="L255" t="str">
            <v>DIFERENTE</v>
          </cell>
          <cell r="M255" t="str">
            <v>S-2_117-118</v>
          </cell>
          <cell r="N255" t="str">
            <v>S2_117-118</v>
          </cell>
          <cell r="O255" t="str">
            <v>S2_79</v>
          </cell>
          <cell r="P255" t="str">
            <v>MISMO SÓTANO</v>
          </cell>
          <cell r="Q255">
            <v>12710</v>
          </cell>
          <cell r="R255">
            <v>1234088.888</v>
          </cell>
          <cell r="S255">
            <v>1348859.1545840001</v>
          </cell>
          <cell r="T255">
            <v>1234126.2580054896</v>
          </cell>
          <cell r="U255">
            <v>1348900</v>
          </cell>
          <cell r="V255">
            <v>33800</v>
          </cell>
          <cell r="W255">
            <v>1382700</v>
          </cell>
          <cell r="AA255">
            <v>1382700</v>
          </cell>
          <cell r="AC255">
            <v>1382700</v>
          </cell>
          <cell r="AF255">
            <v>1382700</v>
          </cell>
          <cell r="AH255">
            <v>0</v>
          </cell>
          <cell r="AI255">
            <v>1382700</v>
          </cell>
          <cell r="AN255">
            <v>1382700</v>
          </cell>
          <cell r="AO255">
            <v>1382700</v>
          </cell>
          <cell r="AP255">
            <v>1382700</v>
          </cell>
          <cell r="AQ255">
            <v>138270</v>
          </cell>
          <cell r="AR255">
            <v>10000</v>
          </cell>
          <cell r="AS255">
            <v>128270</v>
          </cell>
          <cell r="AT255">
            <v>1244430</v>
          </cell>
          <cell r="AU255">
            <v>8497.6485536260607</v>
          </cell>
          <cell r="AV255">
            <v>664.15141811527894</v>
          </cell>
          <cell r="AW255">
            <v>403.28749999999997</v>
          </cell>
          <cell r="AX255">
            <v>9565.0874717413408</v>
          </cell>
          <cell r="AY255" t="e">
            <v>#REF!</v>
          </cell>
          <cell r="BF255" t="str">
            <v>PCV</v>
          </cell>
          <cell r="BG255" t="str">
            <v>Julio Cesar Morales</v>
          </cell>
          <cell r="BH255" t="str">
            <v>Antonio Rada</v>
          </cell>
          <cell r="BL255">
            <v>1</v>
          </cell>
          <cell r="BN255">
            <v>1</v>
          </cell>
          <cell r="BO255">
            <v>1382700</v>
          </cell>
          <cell r="BP255">
            <v>0</v>
          </cell>
        </row>
        <row r="256">
          <cell r="B256">
            <v>1412</v>
          </cell>
          <cell r="C256" t="str">
            <v>A4</v>
          </cell>
          <cell r="D256">
            <v>35.549999999999997</v>
          </cell>
          <cell r="E256">
            <v>1</v>
          </cell>
          <cell r="G256">
            <v>1.49</v>
          </cell>
          <cell r="H256">
            <v>1</v>
          </cell>
          <cell r="L256" t="str">
            <v>IGUAL</v>
          </cell>
          <cell r="M256" t="str">
            <v>S-4_254</v>
          </cell>
          <cell r="N256" t="str">
            <v>S4_254</v>
          </cell>
          <cell r="O256" t="str">
            <v>S4_182</v>
          </cell>
          <cell r="P256" t="str">
            <v>MISMO SÓTANO</v>
          </cell>
          <cell r="Q256">
            <v>13368.75</v>
          </cell>
          <cell r="R256">
            <v>604837.97450000001</v>
          </cell>
          <cell r="S256">
            <v>661087.90612850001</v>
          </cell>
          <cell r="T256">
            <v>604849.03934126254</v>
          </cell>
          <cell r="U256">
            <v>661100</v>
          </cell>
          <cell r="V256">
            <v>36400</v>
          </cell>
          <cell r="W256">
            <v>697500</v>
          </cell>
          <cell r="AA256">
            <v>697500</v>
          </cell>
          <cell r="AC256">
            <v>697500</v>
          </cell>
          <cell r="AF256">
            <v>697500</v>
          </cell>
          <cell r="AH256">
            <v>-36400</v>
          </cell>
          <cell r="AI256">
            <v>661100</v>
          </cell>
          <cell r="AN256">
            <v>661100</v>
          </cell>
          <cell r="AO256">
            <v>661100</v>
          </cell>
          <cell r="AP256">
            <v>661100</v>
          </cell>
          <cell r="AQ256">
            <v>66110</v>
          </cell>
          <cell r="AR256">
            <v>10000</v>
          </cell>
          <cell r="AS256">
            <v>56110</v>
          </cell>
          <cell r="AT256">
            <v>594990</v>
          </cell>
          <cell r="AU256">
            <v>4062.9170888856502</v>
          </cell>
          <cell r="AV256">
            <v>317.54574565416283</v>
          </cell>
          <cell r="AW256">
            <v>192.82083333333333</v>
          </cell>
          <cell r="AX256">
            <v>4573.2836678731464</v>
          </cell>
          <cell r="AY256" t="e">
            <v>#REF!</v>
          </cell>
          <cell r="BF256" t="str">
            <v xml:space="preserve">PCV </v>
          </cell>
          <cell r="BG256" t="str">
            <v xml:space="preserve">Javier Soto </v>
          </cell>
          <cell r="BH256" t="str">
            <v xml:space="preserve">Brenda Bùcaro </v>
          </cell>
          <cell r="BL256">
            <v>1</v>
          </cell>
          <cell r="BO256">
            <v>697500</v>
          </cell>
          <cell r="BP256">
            <v>0</v>
          </cell>
        </row>
        <row r="257">
          <cell r="B257">
            <v>1501</v>
          </cell>
          <cell r="C257" t="str">
            <v>D3</v>
          </cell>
          <cell r="D257">
            <v>63.62</v>
          </cell>
          <cell r="E257">
            <v>3</v>
          </cell>
          <cell r="F257">
            <v>1</v>
          </cell>
          <cell r="G257">
            <v>1.26</v>
          </cell>
          <cell r="I257">
            <v>1</v>
          </cell>
          <cell r="J257">
            <v>19</v>
          </cell>
          <cell r="K257">
            <v>24</v>
          </cell>
          <cell r="L257" t="str">
            <v>DIFERENTE</v>
          </cell>
          <cell r="M257" t="str">
            <v>S-2_87-88</v>
          </cell>
          <cell r="N257" t="str">
            <v>S2_87-88</v>
          </cell>
          <cell r="O257" t="str">
            <v>S2_64</v>
          </cell>
          <cell r="P257" t="str">
            <v>MISMO SÓTANO</v>
          </cell>
          <cell r="Q257">
            <v>12710</v>
          </cell>
          <cell r="R257">
            <v>1098854.4879999999</v>
          </cell>
          <cell r="S257">
            <v>1201047.9553839997</v>
          </cell>
          <cell r="T257">
            <v>1098902.1043000915</v>
          </cell>
          <cell r="U257">
            <v>1201100</v>
          </cell>
          <cell r="V257">
            <v>30100</v>
          </cell>
          <cell r="W257">
            <v>1231200</v>
          </cell>
          <cell r="X257">
            <v>123120</v>
          </cell>
          <cell r="AA257">
            <v>1354320</v>
          </cell>
          <cell r="AC257">
            <v>1354320</v>
          </cell>
          <cell r="AF257">
            <v>1354320</v>
          </cell>
          <cell r="AG257">
            <v>54172.800000000003</v>
          </cell>
          <cell r="AH257">
            <v>42255</v>
          </cell>
          <cell r="AI257">
            <v>1450747.8</v>
          </cell>
          <cell r="AJ257">
            <v>145074.78</v>
          </cell>
          <cell r="AK257">
            <v>10000</v>
          </cell>
          <cell r="AN257">
            <v>1605822.58</v>
          </cell>
          <cell r="AO257">
            <v>1605900</v>
          </cell>
          <cell r="AP257">
            <v>1580900</v>
          </cell>
          <cell r="AQ257">
            <v>145074.78</v>
          </cell>
          <cell r="AR257">
            <v>10000</v>
          </cell>
          <cell r="AS257">
            <v>135074.78</v>
          </cell>
          <cell r="AT257">
            <v>1305673.02</v>
          </cell>
          <cell r="AU257">
            <v>8915.8493847878708</v>
          </cell>
          <cell r="AV257">
            <v>696.83677493138146</v>
          </cell>
          <cell r="AW257">
            <v>423.13477499999999</v>
          </cell>
          <cell r="AX257">
            <v>10035.820934719253</v>
          </cell>
          <cell r="AY257" t="e">
            <v>#REF!</v>
          </cell>
          <cell r="BF257" t="str">
            <v>PCV</v>
          </cell>
          <cell r="BG257" t="str">
            <v>Donald Iván Guevara /  Corporación G&amp;G, S.A.</v>
          </cell>
          <cell r="BH257" t="str">
            <v>Erwin Cardona</v>
          </cell>
          <cell r="BI257">
            <v>45986</v>
          </cell>
          <cell r="BL257" t="str">
            <v>Leads</v>
          </cell>
          <cell r="BN257">
            <v>1</v>
          </cell>
          <cell r="BO257">
            <v>1231200</v>
          </cell>
          <cell r="BP257">
            <v>-123120</v>
          </cell>
        </row>
        <row r="258">
          <cell r="B258">
            <v>1502</v>
          </cell>
          <cell r="C258" t="str">
            <v>D2</v>
          </cell>
          <cell r="D258">
            <v>64.89</v>
          </cell>
          <cell r="E258">
            <v>3</v>
          </cell>
          <cell r="F258">
            <v>1</v>
          </cell>
          <cell r="G258">
            <v>1.26</v>
          </cell>
          <cell r="I258">
            <v>1</v>
          </cell>
          <cell r="J258">
            <v>20</v>
          </cell>
          <cell r="K258">
            <v>25</v>
          </cell>
          <cell r="L258" t="str">
            <v>DIFERENTE</v>
          </cell>
          <cell r="M258" t="str">
            <v>S-2_89-90</v>
          </cell>
          <cell r="N258" t="str">
            <v>S2_89-90</v>
          </cell>
          <cell r="O258" t="str">
            <v>S2_65</v>
          </cell>
          <cell r="P258" t="str">
            <v>MISMO SÓTANO</v>
          </cell>
          <cell r="Q258">
            <v>12710</v>
          </cell>
          <cell r="R258">
            <v>1114996.1880000001</v>
          </cell>
          <cell r="S258">
            <v>1218690.8334840001</v>
          </cell>
          <cell r="T258">
            <v>1115004.5745654162</v>
          </cell>
          <cell r="U258">
            <v>1218700</v>
          </cell>
          <cell r="V258">
            <v>30500</v>
          </cell>
          <cell r="W258">
            <v>1249200</v>
          </cell>
          <cell r="AA258">
            <v>1249200</v>
          </cell>
          <cell r="AC258">
            <v>1249200</v>
          </cell>
          <cell r="AF258">
            <v>1249200</v>
          </cell>
          <cell r="AG258">
            <v>62460</v>
          </cell>
          <cell r="AH258">
            <v>21865.226457929937</v>
          </cell>
          <cell r="AI258">
            <v>1333525.2264579299</v>
          </cell>
          <cell r="AN258">
            <v>1333525.2264579299</v>
          </cell>
          <cell r="AO258">
            <v>1333600</v>
          </cell>
          <cell r="AP258">
            <v>1311660</v>
          </cell>
          <cell r="AQ258">
            <v>133352.52264579301</v>
          </cell>
          <cell r="AR258">
            <v>10000</v>
          </cell>
          <cell r="AS258">
            <v>123352.52264579301</v>
          </cell>
          <cell r="AT258">
            <v>1200172.703812137</v>
          </cell>
          <cell r="AU258">
            <v>8195.4355332567375</v>
          </cell>
          <cell r="AV258">
            <v>640.53133018336064</v>
          </cell>
          <cell r="AW258">
            <v>388.94485771689625</v>
          </cell>
          <cell r="AX258">
            <v>9224.9117211569956</v>
          </cell>
          <cell r="AY258" t="e">
            <v>#REF!</v>
          </cell>
          <cell r="BF258" t="str">
            <v>PCV</v>
          </cell>
          <cell r="BG258" t="str">
            <v>Edgar Benjamin Ramirez Masaya</v>
          </cell>
          <cell r="BH258" t="str">
            <v>Diana Alvarez</v>
          </cell>
          <cell r="BI258">
            <v>45578</v>
          </cell>
          <cell r="BL258" t="str">
            <v>PBX</v>
          </cell>
          <cell r="BN258">
            <v>1</v>
          </cell>
          <cell r="BO258">
            <v>1249200</v>
          </cell>
          <cell r="BP258">
            <v>0</v>
          </cell>
        </row>
        <row r="259">
          <cell r="B259">
            <v>1503</v>
          </cell>
          <cell r="C259" t="str">
            <v>B6</v>
          </cell>
          <cell r="D259">
            <v>50.03</v>
          </cell>
          <cell r="E259">
            <v>2</v>
          </cell>
          <cell r="G259">
            <v>1.26</v>
          </cell>
          <cell r="H259">
            <v>1</v>
          </cell>
          <cell r="L259" t="str">
            <v>IGUAL</v>
          </cell>
          <cell r="M259" t="str">
            <v>S-2_59</v>
          </cell>
          <cell r="N259" t="str">
            <v>S2_59</v>
          </cell>
          <cell r="O259" t="str">
            <v>S2_36</v>
          </cell>
          <cell r="P259" t="str">
            <v>MISMO SÓTANO</v>
          </cell>
          <cell r="Q259">
            <v>13175</v>
          </cell>
          <cell r="R259">
            <v>787245.53799999994</v>
          </cell>
          <cell r="S259">
            <v>860459.37303399993</v>
          </cell>
          <cell r="T259">
            <v>787282.70814272645</v>
          </cell>
          <cell r="U259">
            <v>860500</v>
          </cell>
          <cell r="W259">
            <v>860500</v>
          </cell>
          <cell r="AA259">
            <v>860500</v>
          </cell>
          <cell r="AC259">
            <v>860500</v>
          </cell>
          <cell r="AF259">
            <v>860500</v>
          </cell>
          <cell r="AH259">
            <v>-7872.4553800000576</v>
          </cell>
          <cell r="AI259">
            <v>852627.54461999994</v>
          </cell>
          <cell r="AN259">
            <v>852627.54461999994</v>
          </cell>
          <cell r="AO259">
            <v>852700</v>
          </cell>
          <cell r="AP259">
            <v>852627.54</v>
          </cell>
          <cell r="AQ259">
            <v>85262.754461999997</v>
          </cell>
          <cell r="AR259">
            <v>10000</v>
          </cell>
          <cell r="AS259">
            <v>75262.754461999997</v>
          </cell>
          <cell r="AT259">
            <v>767364.79015799996</v>
          </cell>
          <cell r="AU259">
            <v>5239.9864188340798</v>
          </cell>
          <cell r="AV259">
            <v>409.54205025205846</v>
          </cell>
          <cell r="AW259">
            <v>248.68303384750001</v>
          </cell>
          <cell r="AX259">
            <v>5898.2115029336383</v>
          </cell>
          <cell r="AY259" t="e">
            <v>#REF!</v>
          </cell>
          <cell r="BF259" t="str">
            <v>PCV</v>
          </cell>
          <cell r="BG259" t="str">
            <v>Emilia Larrazabal</v>
          </cell>
          <cell r="BH259" t="str">
            <v>Brenda Búcaro</v>
          </cell>
          <cell r="BJ259">
            <v>1</v>
          </cell>
          <cell r="BO259">
            <v>852700</v>
          </cell>
          <cell r="BP259">
            <v>-7800</v>
          </cell>
        </row>
        <row r="260">
          <cell r="B260">
            <v>1504</v>
          </cell>
          <cell r="C260" t="str">
            <v>B1</v>
          </cell>
          <cell r="D260">
            <v>48.69</v>
          </cell>
          <cell r="E260">
            <v>2</v>
          </cell>
          <cell r="G260">
            <v>1.26</v>
          </cell>
          <cell r="H260">
            <v>1</v>
          </cell>
          <cell r="L260" t="str">
            <v>IGUAL</v>
          </cell>
          <cell r="M260" t="str">
            <v>S-2_60</v>
          </cell>
          <cell r="N260" t="str">
            <v>S2_60</v>
          </cell>
          <cell r="O260" t="str">
            <v>S2_37</v>
          </cell>
          <cell r="P260" t="str">
            <v>MISMO SÓTANO</v>
          </cell>
          <cell r="Q260">
            <v>13175</v>
          </cell>
          <cell r="R260">
            <v>769591.03799999994</v>
          </cell>
          <cell r="S260">
            <v>841163.00453399995</v>
          </cell>
          <cell r="T260">
            <v>769624.88563586457</v>
          </cell>
          <cell r="U260">
            <v>841200</v>
          </cell>
          <cell r="V260">
            <v>42100</v>
          </cell>
          <cell r="W260">
            <v>883300</v>
          </cell>
          <cell r="AA260">
            <v>883300</v>
          </cell>
          <cell r="AC260">
            <v>883300</v>
          </cell>
          <cell r="AF260">
            <v>883300</v>
          </cell>
          <cell r="AH260">
            <v>0</v>
          </cell>
          <cell r="AI260">
            <v>883300</v>
          </cell>
          <cell r="AN260">
            <v>883300</v>
          </cell>
          <cell r="AO260">
            <v>883300</v>
          </cell>
          <cell r="AP260">
            <v>883300</v>
          </cell>
          <cell r="AQ260">
            <v>88330</v>
          </cell>
          <cell r="AR260">
            <v>10000</v>
          </cell>
          <cell r="AS260">
            <v>78330</v>
          </cell>
          <cell r="AT260">
            <v>794970</v>
          </cell>
          <cell r="AU260">
            <v>5428.4898874794962</v>
          </cell>
          <cell r="AV260">
            <v>424.2749313815188</v>
          </cell>
          <cell r="AW260">
            <v>257.62916666666666</v>
          </cell>
          <cell r="AX260">
            <v>6110.3939855276813</v>
          </cell>
          <cell r="AY260" t="e">
            <v>#REF!</v>
          </cell>
          <cell r="BF260" t="str">
            <v>PCV</v>
          </cell>
          <cell r="BG260" t="str">
            <v>Berta Morales</v>
          </cell>
          <cell r="BH260" t="str">
            <v>Alexander Franco</v>
          </cell>
          <cell r="BL260">
            <v>1</v>
          </cell>
          <cell r="BN260">
            <v>1</v>
          </cell>
          <cell r="BO260">
            <v>883300</v>
          </cell>
          <cell r="BP260">
            <v>0</v>
          </cell>
        </row>
        <row r="261">
          <cell r="B261">
            <v>1505</v>
          </cell>
          <cell r="C261" t="str">
            <v>D7</v>
          </cell>
          <cell r="D261">
            <v>66.72</v>
          </cell>
          <cell r="E261">
            <v>3</v>
          </cell>
          <cell r="F261">
            <v>1</v>
          </cell>
          <cell r="G261">
            <v>1.61</v>
          </cell>
          <cell r="I261">
            <v>1</v>
          </cell>
          <cell r="J261">
            <v>21</v>
          </cell>
          <cell r="K261">
            <v>26</v>
          </cell>
          <cell r="L261" t="str">
            <v>DIFERENTE</v>
          </cell>
          <cell r="M261" t="str">
            <v>S-2_91-92</v>
          </cell>
          <cell r="N261" t="str">
            <v>S2_91-92</v>
          </cell>
          <cell r="O261" t="str">
            <v>S2_66</v>
          </cell>
          <cell r="P261" t="str">
            <v>MISMO SÓTANO</v>
          </cell>
          <cell r="Q261">
            <v>12710</v>
          </cell>
          <cell r="R261">
            <v>1140505.568</v>
          </cell>
          <cell r="S261">
            <v>1246572.585824</v>
          </cell>
          <cell r="T261">
            <v>1140530.6495882892</v>
          </cell>
          <cell r="U261">
            <v>1246600</v>
          </cell>
          <cell r="V261">
            <v>31200</v>
          </cell>
          <cell r="W261">
            <v>1277800</v>
          </cell>
          <cell r="AA261">
            <v>1277800</v>
          </cell>
          <cell r="AC261">
            <v>1277800</v>
          </cell>
          <cell r="AF261">
            <v>1277800</v>
          </cell>
          <cell r="AG261">
            <v>0</v>
          </cell>
          <cell r="AH261">
            <v>0</v>
          </cell>
          <cell r="AI261">
            <v>1277800</v>
          </cell>
          <cell r="AN261">
            <v>1277800</v>
          </cell>
          <cell r="AO261">
            <v>1277800</v>
          </cell>
          <cell r="AP261">
            <v>1277800</v>
          </cell>
          <cell r="AQ261">
            <v>127780</v>
          </cell>
          <cell r="AR261">
            <v>10000</v>
          </cell>
          <cell r="AS261">
            <v>117780</v>
          </cell>
          <cell r="AT261">
            <v>1150020</v>
          </cell>
          <cell r="AU261">
            <v>7852.965445739047</v>
          </cell>
          <cell r="AV261">
            <v>613.76486733760294</v>
          </cell>
          <cell r="AW261">
            <v>372.69166666666666</v>
          </cell>
          <cell r="AX261">
            <v>8839.4219797433179</v>
          </cell>
          <cell r="AY261" t="e">
            <v>#REF!</v>
          </cell>
          <cell r="BF261" t="str">
            <v>PCV</v>
          </cell>
          <cell r="BG261" t="str">
            <v>Daniel Álvarez</v>
          </cell>
          <cell r="BH261" t="str">
            <v>Antonio Rada</v>
          </cell>
          <cell r="BI261">
            <v>45491</v>
          </cell>
          <cell r="BO261">
            <v>1277800</v>
          </cell>
          <cell r="BP261">
            <v>0</v>
          </cell>
        </row>
        <row r="262">
          <cell r="B262">
            <v>1506</v>
          </cell>
          <cell r="C262" t="str">
            <v>A9</v>
          </cell>
          <cell r="D262">
            <v>48.09</v>
          </cell>
          <cell r="E262">
            <v>1</v>
          </cell>
          <cell r="G262">
            <v>1.49</v>
          </cell>
          <cell r="H262">
            <v>1</v>
          </cell>
          <cell r="L262" t="str">
            <v>IGUAL</v>
          </cell>
          <cell r="M262" t="str">
            <v>S-2_61</v>
          </cell>
          <cell r="N262" t="str">
            <v>S2_61</v>
          </cell>
          <cell r="O262" t="str">
            <v>S2_38</v>
          </cell>
          <cell r="P262" t="str">
            <v>MISMO SÓTANO</v>
          </cell>
          <cell r="Q262">
            <v>13368.75</v>
          </cell>
          <cell r="R262">
            <v>772482.09950000001</v>
          </cell>
          <cell r="S262">
            <v>844322.93475350004</v>
          </cell>
          <cell r="T262">
            <v>772552.60750228725</v>
          </cell>
          <cell r="U262">
            <v>844400</v>
          </cell>
          <cell r="V262">
            <v>46500</v>
          </cell>
          <cell r="W262">
            <v>890900</v>
          </cell>
          <cell r="X262">
            <v>89090</v>
          </cell>
          <cell r="AA262">
            <v>979990</v>
          </cell>
          <cell r="AC262">
            <v>979990</v>
          </cell>
          <cell r="AF262">
            <v>979990</v>
          </cell>
          <cell r="AH262">
            <v>16336.324410679052</v>
          </cell>
          <cell r="AI262">
            <v>996326.32441067905</v>
          </cell>
          <cell r="AJ262">
            <v>229191.79137034938</v>
          </cell>
          <cell r="AK262">
            <v>10000</v>
          </cell>
          <cell r="AN262">
            <v>1235518.1157810285</v>
          </cell>
          <cell r="AO262">
            <v>1235600</v>
          </cell>
          <cell r="AQ262">
            <v>99632.632441067908</v>
          </cell>
          <cell r="AR262">
            <v>10000</v>
          </cell>
          <cell r="AS262">
            <v>89632.632441067908</v>
          </cell>
          <cell r="AT262">
            <v>896693.6919696111</v>
          </cell>
          <cell r="AU262">
            <v>6123.1148836103093</v>
          </cell>
          <cell r="AV262">
            <v>478.56479443330869</v>
          </cell>
          <cell r="AW262">
            <v>290.59517795311473</v>
          </cell>
          <cell r="AX262">
            <v>6892.2748559967331</v>
          </cell>
          <cell r="AY262" t="e">
            <v>#REF!</v>
          </cell>
          <cell r="BF262" t="str">
            <v>Congelado</v>
          </cell>
          <cell r="BG262" t="str">
            <v>Estrategia Comercial</v>
          </cell>
          <cell r="BH262" t="str">
            <v>Junta Directiva</v>
          </cell>
          <cell r="BO262">
            <v>980000</v>
          </cell>
          <cell r="BP262">
            <v>10</v>
          </cell>
        </row>
        <row r="263">
          <cell r="B263">
            <v>1507</v>
          </cell>
          <cell r="C263" t="str">
            <v>C9</v>
          </cell>
          <cell r="D263">
            <v>57.85</v>
          </cell>
          <cell r="E263">
            <v>2</v>
          </cell>
          <cell r="F263">
            <v>1</v>
          </cell>
          <cell r="G263">
            <v>1.49</v>
          </cell>
          <cell r="I263">
            <v>1</v>
          </cell>
          <cell r="J263">
            <v>47</v>
          </cell>
          <cell r="K263">
            <v>50</v>
          </cell>
          <cell r="L263" t="str">
            <v>DIFERENTE</v>
          </cell>
          <cell r="M263" t="str">
            <v>S-3_184-185</v>
          </cell>
          <cell r="N263" t="str">
            <v>S3_184-185</v>
          </cell>
          <cell r="O263" t="str">
            <v>S3_135</v>
          </cell>
          <cell r="P263" t="str">
            <v>MISMO SÓTANO</v>
          </cell>
          <cell r="Q263">
            <v>13175</v>
          </cell>
          <cell r="R263">
            <v>1053896.662</v>
          </cell>
          <cell r="S263">
            <v>1151909.0515660001</v>
          </cell>
          <cell r="T263">
            <v>1053979.8719121683</v>
          </cell>
          <cell r="U263">
            <v>1152000</v>
          </cell>
          <cell r="W263">
            <v>1152000</v>
          </cell>
          <cell r="AA263">
            <v>1152000</v>
          </cell>
          <cell r="AC263">
            <v>1152000</v>
          </cell>
          <cell r="AF263">
            <v>1152000</v>
          </cell>
          <cell r="AH263">
            <v>-10538.966620000079</v>
          </cell>
          <cell r="AI263">
            <v>1141461.0333799999</v>
          </cell>
          <cell r="AN263">
            <v>1141461.0333799999</v>
          </cell>
          <cell r="AO263">
            <v>1141500</v>
          </cell>
          <cell r="AP263">
            <v>1141461</v>
          </cell>
          <cell r="AQ263">
            <v>114146.103338</v>
          </cell>
          <cell r="AR263">
            <v>10000</v>
          </cell>
          <cell r="AS263">
            <v>104146.103338</v>
          </cell>
          <cell r="AT263">
            <v>1027314.9300419999</v>
          </cell>
          <cell r="AU263">
            <v>7015.0681270861814</v>
          </cell>
          <cell r="AV263">
            <v>548.27725757044823</v>
          </cell>
          <cell r="AW263">
            <v>332.92613473583333</v>
          </cell>
          <cell r="AX263">
            <v>7896.2715193924632</v>
          </cell>
          <cell r="AY263" t="e">
            <v>#REF!</v>
          </cell>
          <cell r="BF263" t="str">
            <v>PCV</v>
          </cell>
          <cell r="BG263" t="str">
            <v>Gabriel Arimany</v>
          </cell>
          <cell r="BH263" t="str">
            <v>Alexander Franco</v>
          </cell>
          <cell r="BJ263">
            <v>1</v>
          </cell>
          <cell r="BN263">
            <v>1</v>
          </cell>
          <cell r="BO263">
            <v>1141500</v>
          </cell>
          <cell r="BP263">
            <v>-10500</v>
          </cell>
        </row>
        <row r="264">
          <cell r="B264">
            <v>1508</v>
          </cell>
          <cell r="C264" t="str">
            <v>C8</v>
          </cell>
          <cell r="D264">
            <v>57.97</v>
          </cell>
          <cell r="E264">
            <v>2</v>
          </cell>
          <cell r="F264">
            <v>1</v>
          </cell>
          <cell r="G264">
            <v>1.26</v>
          </cell>
          <cell r="I264">
            <v>1</v>
          </cell>
          <cell r="J264">
            <v>48</v>
          </cell>
          <cell r="K264">
            <v>51</v>
          </cell>
          <cell r="L264" t="str">
            <v>DIFERENTE</v>
          </cell>
          <cell r="M264" t="str">
            <v>S-3_186-187</v>
          </cell>
          <cell r="N264" t="str">
            <v>S3_186-187</v>
          </cell>
          <cell r="O264" t="str">
            <v>S3_136</v>
          </cell>
          <cell r="P264" t="str">
            <v>MISMO SÓTANO</v>
          </cell>
          <cell r="Q264">
            <v>13175</v>
          </cell>
          <cell r="R264">
            <v>1053999.0379999999</v>
          </cell>
          <cell r="S264">
            <v>1152020.948534</v>
          </cell>
          <cell r="T264">
            <v>1054071.363220494</v>
          </cell>
          <cell r="U264">
            <v>1152100</v>
          </cell>
          <cell r="W264">
            <v>1152100</v>
          </cell>
          <cell r="AA264">
            <v>1152100</v>
          </cell>
          <cell r="AC264">
            <v>1152100</v>
          </cell>
          <cell r="AF264">
            <v>1152100</v>
          </cell>
          <cell r="AH264">
            <v>-10540</v>
          </cell>
          <cell r="AI264">
            <v>1141560</v>
          </cell>
          <cell r="AN264">
            <v>1141560</v>
          </cell>
          <cell r="AO264">
            <v>1141600</v>
          </cell>
          <cell r="AP264">
            <v>1141560</v>
          </cell>
          <cell r="AQ264">
            <v>114156</v>
          </cell>
          <cell r="AR264">
            <v>10000</v>
          </cell>
          <cell r="AS264">
            <v>104156</v>
          </cell>
          <cell r="AT264">
            <v>1027404</v>
          </cell>
          <cell r="AU264">
            <v>7015.6763454671045</v>
          </cell>
          <cell r="AV264">
            <v>548.32479414455622</v>
          </cell>
          <cell r="AW264">
            <v>332.95499999999998</v>
          </cell>
          <cell r="AX264">
            <v>7896.9561396116605</v>
          </cell>
          <cell r="AY264" t="e">
            <v>#REF!</v>
          </cell>
          <cell r="BF264" t="str">
            <v>PCV</v>
          </cell>
          <cell r="BG264" t="str">
            <v xml:space="preserve">María Carolina Arimany Comas </v>
          </cell>
          <cell r="BH264" t="str">
            <v>Alexander Franco</v>
          </cell>
          <cell r="BJ264">
            <v>1</v>
          </cell>
          <cell r="BN264">
            <v>1</v>
          </cell>
          <cell r="BO264">
            <v>1141600</v>
          </cell>
          <cell r="BP264">
            <v>-10500</v>
          </cell>
        </row>
        <row r="265">
          <cell r="B265">
            <v>1509</v>
          </cell>
          <cell r="C265" t="str">
            <v>B4</v>
          </cell>
          <cell r="D265">
            <v>49.77</v>
          </cell>
          <cell r="E265">
            <v>2</v>
          </cell>
          <cell r="G265">
            <v>1.49</v>
          </cell>
          <cell r="H265">
            <v>1</v>
          </cell>
          <cell r="L265" t="str">
            <v>IGUAL</v>
          </cell>
          <cell r="M265" t="str">
            <v>S-2_62</v>
          </cell>
          <cell r="N265" t="str">
            <v>S2_62</v>
          </cell>
          <cell r="O265" t="str">
            <v>S2_39</v>
          </cell>
          <cell r="P265" t="str">
            <v>MISMO SÓTANO</v>
          </cell>
          <cell r="Q265">
            <v>13175</v>
          </cell>
          <cell r="R265">
            <v>785298.66200000001</v>
          </cell>
          <cell r="S265">
            <v>858331.43756600004</v>
          </cell>
          <cell r="T265">
            <v>785361.39066788659</v>
          </cell>
          <cell r="U265">
            <v>858400</v>
          </cell>
          <cell r="W265">
            <v>858400</v>
          </cell>
          <cell r="AA265">
            <v>858400</v>
          </cell>
          <cell r="AC265">
            <v>858400</v>
          </cell>
          <cell r="AF265">
            <v>858400</v>
          </cell>
          <cell r="AG265">
            <v>206016</v>
          </cell>
          <cell r="AH265">
            <v>17743.696449880023</v>
          </cell>
          <cell r="AI265">
            <v>1082159.69644988</v>
          </cell>
          <cell r="AJ265">
            <v>97394.372680489192</v>
          </cell>
          <cell r="AN265">
            <v>1179554.0691303692</v>
          </cell>
          <cell r="AO265">
            <v>1179600</v>
          </cell>
          <cell r="AP265">
            <v>1082554.07</v>
          </cell>
          <cell r="AQ265">
            <v>108215.96964498801</v>
          </cell>
          <cell r="AR265">
            <v>10000</v>
          </cell>
          <cell r="AS265">
            <v>98215.969644988014</v>
          </cell>
          <cell r="AT265">
            <v>973943.72680489207</v>
          </cell>
          <cell r="AU265">
            <v>6650.6203654659284</v>
          </cell>
          <cell r="AV265">
            <v>519.79308383914633</v>
          </cell>
          <cell r="AW265">
            <v>315.62991146454834</v>
          </cell>
          <cell r="AX265">
            <v>7486.0433607696232</v>
          </cell>
          <cell r="AY265" t="e">
            <v>#REF!</v>
          </cell>
          <cell r="BF265" t="str">
            <v>PCV</v>
          </cell>
          <cell r="BG265" t="str">
            <v>Alan Richard Gonzalez Choc</v>
          </cell>
          <cell r="BH265" t="str">
            <v>Anahi Cisneros</v>
          </cell>
          <cell r="BI265">
            <v>45856</v>
          </cell>
          <cell r="BL265" t="str">
            <v>Perfilan</v>
          </cell>
          <cell r="BN265">
            <v>1</v>
          </cell>
          <cell r="BO265">
            <v>850600</v>
          </cell>
          <cell r="BP265">
            <v>-7800</v>
          </cell>
        </row>
        <row r="266">
          <cell r="B266">
            <v>1510</v>
          </cell>
          <cell r="C266" t="str">
            <v>B3</v>
          </cell>
          <cell r="D266">
            <v>48.96</v>
          </cell>
          <cell r="E266">
            <v>2</v>
          </cell>
          <cell r="G266">
            <v>1.26</v>
          </cell>
          <cell r="H266">
            <v>1</v>
          </cell>
          <cell r="L266" t="str">
            <v>IGUAL</v>
          </cell>
          <cell r="M266" t="str">
            <v>S-2_63</v>
          </cell>
          <cell r="N266" t="str">
            <v>S2_63</v>
          </cell>
          <cell r="O266" t="str">
            <v>S2_40</v>
          </cell>
          <cell r="P266" t="str">
            <v>MISMO SÓTANO</v>
          </cell>
          <cell r="Q266">
            <v>13175</v>
          </cell>
          <cell r="R266">
            <v>773148.28799999994</v>
          </cell>
          <cell r="S266">
            <v>845051.0787839999</v>
          </cell>
          <cell r="T266">
            <v>773193.04666056728</v>
          </cell>
          <cell r="U266">
            <v>845100</v>
          </cell>
          <cell r="V266">
            <v>42300</v>
          </cell>
          <cell r="W266">
            <v>887400</v>
          </cell>
          <cell r="AA266">
            <v>887400</v>
          </cell>
          <cell r="AC266">
            <v>887400</v>
          </cell>
          <cell r="AF266">
            <v>887400</v>
          </cell>
          <cell r="AH266">
            <v>0</v>
          </cell>
          <cell r="AI266">
            <v>887400</v>
          </cell>
          <cell r="AN266">
            <v>887400</v>
          </cell>
          <cell r="AO266">
            <v>887400</v>
          </cell>
          <cell r="AP266">
            <v>887400</v>
          </cell>
          <cell r="AQ266">
            <v>88740</v>
          </cell>
          <cell r="AR266">
            <v>10000</v>
          </cell>
          <cell r="AS266">
            <v>78740</v>
          </cell>
          <cell r="AT266">
            <v>798660</v>
          </cell>
          <cell r="AU266">
            <v>5453.6872253473384</v>
          </cell>
          <cell r="AV266">
            <v>426.24428179322962</v>
          </cell>
          <cell r="AW266">
            <v>258.82499999999999</v>
          </cell>
          <cell r="AX266">
            <v>6138.7565071405679</v>
          </cell>
          <cell r="AY266" t="e">
            <v>#REF!</v>
          </cell>
          <cell r="BF266" t="str">
            <v>PCV</v>
          </cell>
          <cell r="BG266" t="str">
            <v>Jose Centeno</v>
          </cell>
          <cell r="BH266" t="str">
            <v>Alexander Franco</v>
          </cell>
          <cell r="BO266">
            <v>887400</v>
          </cell>
          <cell r="BP266">
            <v>0</v>
          </cell>
        </row>
        <row r="267">
          <cell r="B267">
            <v>1511</v>
          </cell>
          <cell r="C267" t="str">
            <v>E8</v>
          </cell>
          <cell r="D267">
            <v>74.260000000000005</v>
          </cell>
          <cell r="E267">
            <v>3</v>
          </cell>
          <cell r="F267">
            <v>1</v>
          </cell>
          <cell r="G267">
            <v>1.26</v>
          </cell>
          <cell r="I267">
            <v>1</v>
          </cell>
          <cell r="J267">
            <v>40</v>
          </cell>
          <cell r="K267">
            <v>20</v>
          </cell>
          <cell r="L267" t="str">
            <v>DIFERENTE</v>
          </cell>
          <cell r="M267" t="str">
            <v>S-2_133-134</v>
          </cell>
          <cell r="N267" t="str">
            <v>S2_133-134</v>
          </cell>
          <cell r="O267" t="str">
            <v>S1_21</v>
          </cell>
          <cell r="P267" t="str">
            <v>DIFERENTE SÓTANO</v>
          </cell>
          <cell r="Q267">
            <v>12710</v>
          </cell>
          <cell r="R267">
            <v>1234088.888</v>
          </cell>
          <cell r="S267">
            <v>1348859.1545840001</v>
          </cell>
          <cell r="T267">
            <v>1234126.2580054896</v>
          </cell>
          <cell r="U267">
            <v>1348900</v>
          </cell>
          <cell r="V267">
            <v>33800</v>
          </cell>
          <cell r="W267">
            <v>1382700</v>
          </cell>
          <cell r="X267">
            <v>69135</v>
          </cell>
          <cell r="AA267">
            <v>1451835</v>
          </cell>
          <cell r="AC267">
            <v>1451835</v>
          </cell>
          <cell r="AF267">
            <v>1451835</v>
          </cell>
          <cell r="AH267">
            <v>-69135</v>
          </cell>
          <cell r="AI267">
            <v>1382700</v>
          </cell>
          <cell r="AN267">
            <v>1382700</v>
          </cell>
          <cell r="AO267">
            <v>1382700</v>
          </cell>
          <cell r="AP267">
            <v>1382700</v>
          </cell>
          <cell r="AQ267">
            <v>138270</v>
          </cell>
          <cell r="AR267">
            <v>10000</v>
          </cell>
          <cell r="AS267">
            <v>128270</v>
          </cell>
          <cell r="AT267">
            <v>1244430</v>
          </cell>
          <cell r="AU267">
            <v>8497.6485536260607</v>
          </cell>
          <cell r="AV267">
            <v>664.15141811527894</v>
          </cell>
          <cell r="AW267">
            <v>403.28749999999997</v>
          </cell>
          <cell r="AX267">
            <v>9565.0874717413408</v>
          </cell>
          <cell r="AY267" t="e">
            <v>#REF!</v>
          </cell>
          <cell r="BF267" t="str">
            <v>PCV</v>
          </cell>
          <cell r="BG267" t="str">
            <v>Luis Fernando  Velasquez</v>
          </cell>
          <cell r="BH267" t="str">
            <v>Antonio Rada</v>
          </cell>
          <cell r="BM267">
            <v>1</v>
          </cell>
          <cell r="BN267">
            <v>1</v>
          </cell>
          <cell r="BO267">
            <v>1380700</v>
          </cell>
          <cell r="BP267">
            <v>-71135</v>
          </cell>
        </row>
        <row r="268">
          <cell r="B268">
            <v>1512</v>
          </cell>
          <cell r="C268" t="str">
            <v>A10</v>
          </cell>
          <cell r="D268">
            <v>44.7</v>
          </cell>
          <cell r="E268">
            <v>1</v>
          </cell>
          <cell r="G268">
            <v>2.88</v>
          </cell>
          <cell r="H268">
            <v>1</v>
          </cell>
          <cell r="L268" t="str">
            <v>IGUAL</v>
          </cell>
          <cell r="M268" t="str">
            <v>S-2_64</v>
          </cell>
          <cell r="N268" t="str">
            <v>S2_64</v>
          </cell>
          <cell r="O268" t="str">
            <v>S2_41</v>
          </cell>
          <cell r="P268" t="str">
            <v>MISMO SÓTANO</v>
          </cell>
          <cell r="Q268">
            <v>13368.75</v>
          </cell>
          <cell r="R268">
            <v>736098.06900000002</v>
          </cell>
          <cell r="S268">
            <v>804555.18941700005</v>
          </cell>
          <cell r="T268">
            <v>736139.06678865512</v>
          </cell>
          <cell r="U268">
            <v>804600</v>
          </cell>
          <cell r="V268">
            <v>44300</v>
          </cell>
          <cell r="W268">
            <v>848900</v>
          </cell>
          <cell r="X268">
            <v>84890</v>
          </cell>
          <cell r="AA268">
            <v>933790</v>
          </cell>
          <cell r="AC268">
            <v>933790</v>
          </cell>
          <cell r="AF268">
            <v>933790</v>
          </cell>
          <cell r="AH268">
            <v>15566.175544084981</v>
          </cell>
          <cell r="AI268">
            <v>949356.17554408498</v>
          </cell>
          <cell r="AJ268">
            <v>276326.16739690292</v>
          </cell>
          <cell r="AK268">
            <v>10000</v>
          </cell>
          <cell r="AN268">
            <v>1235682.342940988</v>
          </cell>
          <cell r="AO268">
            <v>1235700</v>
          </cell>
          <cell r="AQ268">
            <v>94935.617554408498</v>
          </cell>
          <cell r="AR268">
            <v>10000</v>
          </cell>
          <cell r="AS268">
            <v>84935.617554408498</v>
          </cell>
          <cell r="AT268">
            <v>854420.55798967648</v>
          </cell>
          <cell r="AU268">
            <v>5834.4508078311719</v>
          </cell>
          <cell r="AV268">
            <v>456.00365248000412</v>
          </cell>
          <cell r="AW268">
            <v>276.89555120035811</v>
          </cell>
          <cell r="AX268">
            <v>6567.3500115115348</v>
          </cell>
          <cell r="AY268" t="e">
            <v>#REF!</v>
          </cell>
          <cell r="BF268" t="str">
            <v>Congelado</v>
          </cell>
          <cell r="BG268" t="str">
            <v>Estrategia Comercial</v>
          </cell>
          <cell r="BH268" t="str">
            <v>Junta Directiva</v>
          </cell>
          <cell r="BO268">
            <v>933800</v>
          </cell>
          <cell r="BP268">
            <v>10</v>
          </cell>
        </row>
        <row r="269">
          <cell r="B269">
            <v>1601</v>
          </cell>
          <cell r="C269" t="str">
            <v>D3</v>
          </cell>
          <cell r="D269">
            <v>63.62</v>
          </cell>
          <cell r="E269">
            <v>3</v>
          </cell>
          <cell r="F269">
            <v>1</v>
          </cell>
          <cell r="G269">
            <v>1.26</v>
          </cell>
          <cell r="I269">
            <v>1</v>
          </cell>
          <cell r="J269">
            <v>22</v>
          </cell>
          <cell r="K269">
            <v>27</v>
          </cell>
          <cell r="L269" t="str">
            <v>DIFERENTE</v>
          </cell>
          <cell r="M269" t="str">
            <v>S-2_93-94</v>
          </cell>
          <cell r="N269" t="str">
            <v>S2_93-94</v>
          </cell>
          <cell r="O269" t="str">
            <v>S2_67</v>
          </cell>
          <cell r="P269" t="str">
            <v>MISMO SÓTANO</v>
          </cell>
          <cell r="Q269">
            <v>13368.75</v>
          </cell>
          <cell r="R269">
            <v>1140764.1629999999</v>
          </cell>
          <cell r="S269">
            <v>1246855.2301589998</v>
          </cell>
          <cell r="T269">
            <v>1140805.1235132662</v>
          </cell>
          <cell r="U269">
            <v>1246900</v>
          </cell>
          <cell r="V269">
            <v>31200</v>
          </cell>
          <cell r="W269">
            <v>1278100</v>
          </cell>
          <cell r="X269">
            <v>127810</v>
          </cell>
          <cell r="AA269">
            <v>1405910</v>
          </cell>
          <cell r="AC269">
            <v>1405910</v>
          </cell>
          <cell r="AF269">
            <v>1405910</v>
          </cell>
          <cell r="AH269">
            <v>-150626.10000000009</v>
          </cell>
          <cell r="AI269">
            <v>1255283.8999999999</v>
          </cell>
          <cell r="AN269">
            <v>1255283.8999999999</v>
          </cell>
          <cell r="AO269">
            <v>1255300</v>
          </cell>
          <cell r="AP269">
            <v>1278100</v>
          </cell>
          <cell r="AQ269">
            <v>125528.39</v>
          </cell>
          <cell r="AR269">
            <v>10000</v>
          </cell>
          <cell r="AS269">
            <v>115528.39</v>
          </cell>
          <cell r="AT269">
            <v>1129755.51</v>
          </cell>
          <cell r="AU269">
            <v>7714.5884264302313</v>
          </cell>
          <cell r="AV269">
            <v>602.94972323879222</v>
          </cell>
          <cell r="AW269">
            <v>366.12447083333331</v>
          </cell>
          <cell r="AX269">
            <v>8683.6626205023567</v>
          </cell>
          <cell r="AY269" t="e">
            <v>#REF!</v>
          </cell>
          <cell r="BF269" t="str">
            <v>PCV</v>
          </cell>
          <cell r="BG269" t="str">
            <v>Fernando García</v>
          </cell>
          <cell r="BH269" t="str">
            <v>Brenda Búcaro</v>
          </cell>
          <cell r="BK269">
            <v>1</v>
          </cell>
          <cell r="BN269">
            <v>1</v>
          </cell>
          <cell r="BO269">
            <v>1278100</v>
          </cell>
          <cell r="BP269">
            <v>-127810</v>
          </cell>
        </row>
        <row r="270">
          <cell r="B270">
            <v>1602</v>
          </cell>
          <cell r="C270" t="str">
            <v>D2</v>
          </cell>
          <cell r="D270">
            <v>64.89</v>
          </cell>
          <cell r="E270">
            <v>3</v>
          </cell>
          <cell r="F270">
            <v>1</v>
          </cell>
          <cell r="G270">
            <v>1.26</v>
          </cell>
          <cell r="I270">
            <v>1</v>
          </cell>
          <cell r="J270">
            <v>23</v>
          </cell>
          <cell r="K270">
            <v>28</v>
          </cell>
          <cell r="L270" t="str">
            <v>DIFERENTE</v>
          </cell>
          <cell r="M270" t="str">
            <v>S-2_95-96</v>
          </cell>
          <cell r="N270" t="str">
            <v>S2_95-96</v>
          </cell>
          <cell r="O270" t="str">
            <v>S2_68</v>
          </cell>
          <cell r="P270" t="str">
            <v>MISMO SÓTANO</v>
          </cell>
          <cell r="Q270">
            <v>13368.75</v>
          </cell>
          <cell r="R270">
            <v>1157742.4754999999</v>
          </cell>
          <cell r="S270">
            <v>1265412.5257214999</v>
          </cell>
          <cell r="T270">
            <v>1157822.5068618481</v>
          </cell>
          <cell r="U270">
            <v>1265500</v>
          </cell>
          <cell r="W270">
            <v>1265500</v>
          </cell>
          <cell r="AA270">
            <v>1265500</v>
          </cell>
          <cell r="AC270">
            <v>1265500</v>
          </cell>
          <cell r="AF270">
            <v>1265500</v>
          </cell>
          <cell r="AI270">
            <v>1265500</v>
          </cell>
          <cell r="AN270">
            <v>1265500</v>
          </cell>
          <cell r="AO270">
            <v>1265500</v>
          </cell>
          <cell r="AP270">
            <v>1265500</v>
          </cell>
          <cell r="AQ270">
            <v>126550</v>
          </cell>
          <cell r="AR270">
            <v>10000</v>
          </cell>
          <cell r="AS270">
            <v>116550</v>
          </cell>
          <cell r="AT270">
            <v>1138950</v>
          </cell>
          <cell r="AU270">
            <v>7777.3734321355169</v>
          </cell>
          <cell r="AV270">
            <v>607.85681610247013</v>
          </cell>
          <cell r="AW270">
            <v>369.10416666666669</v>
          </cell>
          <cell r="AX270">
            <v>8754.3344149046534</v>
          </cell>
          <cell r="AY270" t="e">
            <v>#REF!</v>
          </cell>
          <cell r="BF270" t="str">
            <v>PCV</v>
          </cell>
          <cell r="BG270" t="str">
            <v>International Coffee</v>
          </cell>
          <cell r="BH270" t="str">
            <v xml:space="preserve">Junta Directiva </v>
          </cell>
          <cell r="BO270">
            <v>1297200</v>
          </cell>
          <cell r="BP270">
            <v>31700</v>
          </cell>
        </row>
        <row r="271">
          <cell r="B271">
            <v>1603</v>
          </cell>
          <cell r="C271" t="str">
            <v>B6</v>
          </cell>
          <cell r="D271">
            <v>50.03</v>
          </cell>
          <cell r="E271">
            <v>2</v>
          </cell>
          <cell r="G271">
            <v>1.26</v>
          </cell>
          <cell r="H271">
            <v>1</v>
          </cell>
          <cell r="L271" t="str">
            <v>IGUAL</v>
          </cell>
          <cell r="M271" t="str">
            <v>S-2_65</v>
          </cell>
          <cell r="N271" t="str">
            <v>S2_65</v>
          </cell>
          <cell r="O271" t="str">
            <v>S2_42</v>
          </cell>
          <cell r="P271" t="str">
            <v>MISMO SÓTANO</v>
          </cell>
          <cell r="Q271">
            <v>13368.75</v>
          </cell>
          <cell r="R271">
            <v>796938.85049999994</v>
          </cell>
          <cell r="S271">
            <v>871054.16359649994</v>
          </cell>
          <cell r="T271">
            <v>796980.78682525165</v>
          </cell>
          <cell r="U271">
            <v>871100</v>
          </cell>
          <cell r="W271">
            <v>871100</v>
          </cell>
          <cell r="AA271">
            <v>871100</v>
          </cell>
          <cell r="AC271">
            <v>871100</v>
          </cell>
          <cell r="AF271">
            <v>871100</v>
          </cell>
          <cell r="AH271">
            <v>-7969.390000000014</v>
          </cell>
          <cell r="AI271">
            <v>863130.61</v>
          </cell>
          <cell r="AN271">
            <v>863130.61</v>
          </cell>
          <cell r="AO271">
            <v>863200</v>
          </cell>
          <cell r="AP271">
            <v>863130.61</v>
          </cell>
          <cell r="AQ271">
            <v>86313.061000000002</v>
          </cell>
          <cell r="AR271">
            <v>10000</v>
          </cell>
          <cell r="AS271">
            <v>76313.061000000002</v>
          </cell>
          <cell r="AT271">
            <v>776817.549</v>
          </cell>
          <cell r="AU271">
            <v>5304.5350254262521</v>
          </cell>
          <cell r="AV271">
            <v>414.58698101555348</v>
          </cell>
          <cell r="AW271">
            <v>251.74642791666668</v>
          </cell>
          <cell r="AX271">
            <v>5970.8684343584728</v>
          </cell>
          <cell r="AY271" t="e">
            <v>#REF!</v>
          </cell>
          <cell r="BF271" t="str">
            <v>PCV</v>
          </cell>
          <cell r="BG271" t="str">
            <v>Inmobiliaria 15</v>
          </cell>
          <cell r="BH271" t="str">
            <v>Antonio Rada</v>
          </cell>
          <cell r="BJ271">
            <v>1</v>
          </cell>
          <cell r="BN271">
            <v>1</v>
          </cell>
          <cell r="BO271">
            <v>863200</v>
          </cell>
          <cell r="BP271">
            <v>-7900</v>
          </cell>
        </row>
        <row r="272">
          <cell r="B272">
            <v>1604</v>
          </cell>
          <cell r="C272" t="str">
            <v>B1</v>
          </cell>
          <cell r="D272">
            <v>48.69</v>
          </cell>
          <cell r="E272">
            <v>2</v>
          </cell>
          <cell r="G272">
            <v>1.26</v>
          </cell>
          <cell r="H272">
            <v>1</v>
          </cell>
          <cell r="L272" t="str">
            <v>IGUAL</v>
          </cell>
          <cell r="M272" t="str">
            <v>S-2_66</v>
          </cell>
          <cell r="N272" t="str">
            <v>S2_66</v>
          </cell>
          <cell r="O272" t="str">
            <v>S2_43</v>
          </cell>
          <cell r="P272" t="str">
            <v>MISMO SÓTANO</v>
          </cell>
          <cell r="Q272">
            <v>13368.75</v>
          </cell>
          <cell r="R272">
            <v>779024.72549999994</v>
          </cell>
          <cell r="S272">
            <v>851474.02497149992</v>
          </cell>
          <cell r="T272">
            <v>779048.49039341265</v>
          </cell>
          <cell r="U272">
            <v>851500</v>
          </cell>
          <cell r="V272">
            <v>42600</v>
          </cell>
          <cell r="W272">
            <v>894100</v>
          </cell>
          <cell r="AA272">
            <v>894100</v>
          </cell>
          <cell r="AC272">
            <v>894100</v>
          </cell>
          <cell r="AF272">
            <v>894100</v>
          </cell>
          <cell r="AH272">
            <v>0</v>
          </cell>
          <cell r="AI272">
            <v>894100</v>
          </cell>
          <cell r="AN272">
            <v>894100</v>
          </cell>
          <cell r="AO272">
            <v>894100</v>
          </cell>
          <cell r="AP272">
            <v>894100</v>
          </cell>
          <cell r="AQ272">
            <v>89410</v>
          </cell>
          <cell r="AR272">
            <v>10000</v>
          </cell>
          <cell r="AS272">
            <v>79410</v>
          </cell>
          <cell r="AT272">
            <v>804690</v>
          </cell>
          <cell r="AU272">
            <v>5494.8633628386924</v>
          </cell>
          <cell r="AV272">
            <v>429.46248856358642</v>
          </cell>
          <cell r="AW272">
            <v>260.77916666666664</v>
          </cell>
          <cell r="AX272">
            <v>6185.1050180689454</v>
          </cell>
          <cell r="AY272" t="e">
            <v>#REF!</v>
          </cell>
          <cell r="BF272" t="str">
            <v>PCV</v>
          </cell>
          <cell r="BG272" t="str">
            <v xml:space="preserve">Oliver Garcia </v>
          </cell>
          <cell r="BH272" t="str">
            <v>Antonio Rada</v>
          </cell>
          <cell r="BJ272">
            <v>1</v>
          </cell>
          <cell r="BO272">
            <v>894100</v>
          </cell>
          <cell r="BP272">
            <v>0</v>
          </cell>
        </row>
        <row r="273">
          <cell r="B273">
            <v>1605</v>
          </cell>
          <cell r="C273" t="str">
            <v>D7</v>
          </cell>
          <cell r="D273">
            <v>66.72</v>
          </cell>
          <cell r="E273">
            <v>3</v>
          </cell>
          <cell r="F273">
            <v>1</v>
          </cell>
          <cell r="G273">
            <v>1.61</v>
          </cell>
          <cell r="I273">
            <v>1</v>
          </cell>
          <cell r="J273">
            <v>63</v>
          </cell>
          <cell r="K273">
            <v>66</v>
          </cell>
          <cell r="L273" t="str">
            <v>DIFERENTE</v>
          </cell>
          <cell r="M273" t="str">
            <v>S-3_214-215</v>
          </cell>
          <cell r="N273" t="str">
            <v>S3_214-215</v>
          </cell>
          <cell r="O273" t="str">
            <v>S3_151</v>
          </cell>
          <cell r="P273" t="str">
            <v>MISMO SÓTANO</v>
          </cell>
          <cell r="Q273">
            <v>13368.75</v>
          </cell>
          <cell r="R273">
            <v>1184457.368</v>
          </cell>
          <cell r="S273">
            <v>1294611.903224</v>
          </cell>
          <cell r="T273">
            <v>1184537.9688929552</v>
          </cell>
          <cell r="U273">
            <v>1294700</v>
          </cell>
          <cell r="V273">
            <v>32400</v>
          </cell>
          <cell r="W273">
            <v>1327100</v>
          </cell>
          <cell r="AA273">
            <v>1327100</v>
          </cell>
          <cell r="AC273">
            <v>1327100</v>
          </cell>
          <cell r="AF273">
            <v>1327100</v>
          </cell>
          <cell r="AG273">
            <v>66355</v>
          </cell>
          <cell r="AH273">
            <v>0</v>
          </cell>
          <cell r="AI273">
            <v>1393455</v>
          </cell>
          <cell r="AN273">
            <v>1393455</v>
          </cell>
          <cell r="AO273">
            <v>1393500</v>
          </cell>
          <cell r="AP273">
            <v>1393455</v>
          </cell>
          <cell r="AQ273">
            <v>139345.5</v>
          </cell>
          <cell r="AR273">
            <v>10000</v>
          </cell>
          <cell r="AS273">
            <v>129345.5</v>
          </cell>
          <cell r="AT273">
            <v>1254109.5</v>
          </cell>
          <cell r="AU273">
            <v>8563.7454728379271</v>
          </cell>
          <cell r="AV273">
            <v>669.31736047575475</v>
          </cell>
          <cell r="AW273">
            <v>406.424375</v>
          </cell>
          <cell r="AX273">
            <v>9639.4872083136815</v>
          </cell>
          <cell r="AY273" t="e">
            <v>#REF!</v>
          </cell>
          <cell r="BF273" t="str">
            <v>PCV</v>
          </cell>
          <cell r="BG273" t="str">
            <v xml:space="preserve">Edgar Muy </v>
          </cell>
          <cell r="BH273" t="str">
            <v>Antonio Rada</v>
          </cell>
          <cell r="BI273">
            <v>45526</v>
          </cell>
          <cell r="BL273" t="str">
            <v>Visita proyecto</v>
          </cell>
          <cell r="BN273">
            <v>1</v>
          </cell>
          <cell r="BO273">
            <v>1327100</v>
          </cell>
          <cell r="BP273">
            <v>0</v>
          </cell>
        </row>
        <row r="274">
          <cell r="B274">
            <v>1606</v>
          </cell>
          <cell r="C274" t="str">
            <v>A9</v>
          </cell>
          <cell r="D274">
            <v>48.09</v>
          </cell>
          <cell r="E274">
            <v>1</v>
          </cell>
          <cell r="G274">
            <v>1.49</v>
          </cell>
          <cell r="H274">
            <v>1</v>
          </cell>
          <cell r="L274" t="str">
            <v>IGUAL</v>
          </cell>
          <cell r="M274" t="str">
            <v>S-2_67</v>
          </cell>
          <cell r="N274" t="str">
            <v>S2_67</v>
          </cell>
          <cell r="O274" t="str">
            <v>S2_44</v>
          </cell>
          <cell r="P274" t="str">
            <v>MISMO SÓTANO</v>
          </cell>
          <cell r="Q274">
            <v>13368.75</v>
          </cell>
          <cell r="R274">
            <v>772482.09950000001</v>
          </cell>
          <cell r="S274">
            <v>844322.93475350004</v>
          </cell>
          <cell r="T274">
            <v>772552.60750228725</v>
          </cell>
          <cell r="U274">
            <v>844400</v>
          </cell>
          <cell r="V274">
            <v>46500</v>
          </cell>
          <cell r="W274">
            <v>890900</v>
          </cell>
          <cell r="X274">
            <v>89090</v>
          </cell>
          <cell r="AA274">
            <v>979990</v>
          </cell>
          <cell r="AC274">
            <v>979990</v>
          </cell>
          <cell r="AF274">
            <v>979990</v>
          </cell>
          <cell r="AH274">
            <v>16336.324410679052</v>
          </cell>
          <cell r="AI274">
            <v>996326.32441067905</v>
          </cell>
          <cell r="AJ274">
            <v>249155.0546144562</v>
          </cell>
          <cell r="AK274">
            <v>10000</v>
          </cell>
          <cell r="AN274">
            <v>1255481.3790251352</v>
          </cell>
          <cell r="AO274">
            <v>1255500</v>
          </cell>
          <cell r="AQ274">
            <v>99632.632441067908</v>
          </cell>
          <cell r="AR274">
            <v>10000</v>
          </cell>
          <cell r="AS274">
            <v>89632.632441067908</v>
          </cell>
          <cell r="AT274">
            <v>896693.6919696111</v>
          </cell>
          <cell r="AU274">
            <v>6123.1148836103093</v>
          </cell>
          <cell r="AV274">
            <v>478.56479443330869</v>
          </cell>
          <cell r="AW274">
            <v>290.59517795311473</v>
          </cell>
          <cell r="AX274">
            <v>6892.2748559967331</v>
          </cell>
          <cell r="AY274" t="e">
            <v>#REF!</v>
          </cell>
          <cell r="BF274" t="str">
            <v>Congelado</v>
          </cell>
          <cell r="BG274" t="str">
            <v>Estrategia Comercial</v>
          </cell>
          <cell r="BH274" t="str">
            <v>Junta Directiva</v>
          </cell>
          <cell r="BO274">
            <v>980000</v>
          </cell>
          <cell r="BP274">
            <v>10</v>
          </cell>
        </row>
        <row r="275">
          <cell r="B275">
            <v>1607</v>
          </cell>
          <cell r="C275" t="str">
            <v>C9</v>
          </cell>
          <cell r="D275">
            <v>57.85</v>
          </cell>
          <cell r="E275">
            <v>2</v>
          </cell>
          <cell r="F275">
            <v>1</v>
          </cell>
          <cell r="G275">
            <v>1.49</v>
          </cell>
          <cell r="I275">
            <v>1</v>
          </cell>
          <cell r="J275">
            <v>49</v>
          </cell>
          <cell r="K275">
            <v>52</v>
          </cell>
          <cell r="L275" t="str">
            <v>DIFERENTE</v>
          </cell>
          <cell r="M275" t="str">
            <v>S-3_188-189</v>
          </cell>
          <cell r="N275" t="str">
            <v>S3_188-189</v>
          </cell>
          <cell r="O275" t="str">
            <v>S3_137</v>
          </cell>
          <cell r="P275" t="str">
            <v>MISMO SÓTANO</v>
          </cell>
          <cell r="Q275">
            <v>13368.75</v>
          </cell>
          <cell r="R275">
            <v>1065105.0995</v>
          </cell>
          <cell r="S275">
            <v>1164159.8737534999</v>
          </cell>
          <cell r="T275">
            <v>1065141.8115279048</v>
          </cell>
          <cell r="U275">
            <v>1164200</v>
          </cell>
          <cell r="W275">
            <v>1164200</v>
          </cell>
          <cell r="AA275">
            <v>1164200</v>
          </cell>
          <cell r="AC275">
            <v>1164200</v>
          </cell>
          <cell r="AF275">
            <v>1164200</v>
          </cell>
          <cell r="AH275">
            <v>0</v>
          </cell>
          <cell r="AI275">
            <v>1164200</v>
          </cell>
          <cell r="AN275">
            <v>1164200</v>
          </cell>
          <cell r="AO275">
            <v>1164200</v>
          </cell>
          <cell r="AP275">
            <v>1164200</v>
          </cell>
          <cell r="AQ275">
            <v>116420</v>
          </cell>
          <cell r="AR275">
            <v>10000</v>
          </cell>
          <cell r="AS275">
            <v>106420</v>
          </cell>
          <cell r="AT275">
            <v>1047780</v>
          </cell>
          <cell r="AU275">
            <v>7154.8148160349028</v>
          </cell>
          <cell r="AV275">
            <v>559.19945105214993</v>
          </cell>
          <cell r="AW275">
            <v>339.55833333333334</v>
          </cell>
          <cell r="AX275">
            <v>8053.5726004203862</v>
          </cell>
          <cell r="AY275" t="e">
            <v>#REF!</v>
          </cell>
          <cell r="BF275" t="str">
            <v>PCV</v>
          </cell>
          <cell r="BG275" t="str">
            <v>Inmobiliaria 15</v>
          </cell>
          <cell r="BH275" t="str">
            <v>Junta Directiva</v>
          </cell>
          <cell r="BO275">
            <v>1164200</v>
          </cell>
          <cell r="BP275">
            <v>0</v>
          </cell>
        </row>
        <row r="276">
          <cell r="B276">
            <v>1608</v>
          </cell>
          <cell r="C276" t="str">
            <v>C8</v>
          </cell>
          <cell r="D276">
            <v>57.97</v>
          </cell>
          <cell r="E276">
            <v>2</v>
          </cell>
          <cell r="F276">
            <v>1</v>
          </cell>
          <cell r="G276">
            <v>1.26</v>
          </cell>
          <cell r="I276">
            <v>1</v>
          </cell>
          <cell r="J276">
            <v>50</v>
          </cell>
          <cell r="K276">
            <v>53</v>
          </cell>
          <cell r="L276" t="str">
            <v>DIFERENTE</v>
          </cell>
          <cell r="M276" t="str">
            <v>S-3_190-191</v>
          </cell>
          <cell r="N276" t="str">
            <v>S3_190-191</v>
          </cell>
          <cell r="O276" t="str">
            <v>S3_138</v>
          </cell>
          <cell r="P276" t="str">
            <v>MISMO SÓTANO</v>
          </cell>
          <cell r="Q276">
            <v>13368.75</v>
          </cell>
          <cell r="R276">
            <v>1065230.7254999999</v>
          </cell>
          <cell r="S276">
            <v>1164297.1829714999</v>
          </cell>
          <cell r="T276">
            <v>1065233.3028362305</v>
          </cell>
          <cell r="U276">
            <v>1164300</v>
          </cell>
          <cell r="W276">
            <v>1164300</v>
          </cell>
          <cell r="AA276">
            <v>1164300</v>
          </cell>
          <cell r="AC276">
            <v>1164300</v>
          </cell>
          <cell r="AF276">
            <v>1164300</v>
          </cell>
          <cell r="AH276">
            <v>-10652</v>
          </cell>
          <cell r="AI276">
            <v>1153648</v>
          </cell>
          <cell r="AN276">
            <v>1153648</v>
          </cell>
          <cell r="AO276">
            <v>1153700</v>
          </cell>
          <cell r="AP276">
            <v>1153648</v>
          </cell>
          <cell r="AQ276">
            <v>115364.8</v>
          </cell>
          <cell r="AR276">
            <v>10000</v>
          </cell>
          <cell r="AS276">
            <v>105364.8</v>
          </cell>
          <cell r="AT276">
            <v>1038283.2</v>
          </cell>
          <cell r="AU276">
            <v>7089.9654723321019</v>
          </cell>
          <cell r="AV276">
            <v>554.13101555352239</v>
          </cell>
          <cell r="AW276">
            <v>336.48066666666665</v>
          </cell>
          <cell r="AX276">
            <v>7980.5771545522903</v>
          </cell>
          <cell r="AY276" t="e">
            <v>#REF!</v>
          </cell>
          <cell r="BF276" t="str">
            <v>PCV</v>
          </cell>
          <cell r="BG276" t="str">
            <v xml:space="preserve">Maria Carolina Arimany Comas </v>
          </cell>
          <cell r="BH276" t="str">
            <v>Alexander Franco</v>
          </cell>
          <cell r="BJ276">
            <v>1</v>
          </cell>
          <cell r="BN276">
            <v>1</v>
          </cell>
          <cell r="BO276">
            <v>1153700</v>
          </cell>
          <cell r="BP276">
            <v>-10600</v>
          </cell>
        </row>
        <row r="277">
          <cell r="B277">
            <v>1609</v>
          </cell>
          <cell r="C277" t="str">
            <v>B4</v>
          </cell>
          <cell r="D277">
            <v>49.77</v>
          </cell>
          <cell r="E277">
            <v>2</v>
          </cell>
          <cell r="G277">
            <v>1.49</v>
          </cell>
          <cell r="H277">
            <v>1</v>
          </cell>
          <cell r="L277" t="str">
            <v>IGUAL</v>
          </cell>
          <cell r="M277" t="str">
            <v>S-2_68</v>
          </cell>
          <cell r="N277" t="str">
            <v>S2_68</v>
          </cell>
          <cell r="O277" t="str">
            <v>S2_45</v>
          </cell>
          <cell r="P277" t="str">
            <v>MISMO SÓTANO</v>
          </cell>
          <cell r="Q277">
            <v>13368.75</v>
          </cell>
          <cell r="R277">
            <v>794941.59950000001</v>
          </cell>
          <cell r="S277">
            <v>868871.16825350001</v>
          </cell>
          <cell r="T277">
            <v>794967.978042086</v>
          </cell>
          <cell r="U277">
            <v>868900</v>
          </cell>
          <cell r="W277">
            <v>868900</v>
          </cell>
          <cell r="AA277">
            <v>868900</v>
          </cell>
          <cell r="AC277">
            <v>868900</v>
          </cell>
          <cell r="AF277">
            <v>868900</v>
          </cell>
          <cell r="AH277">
            <v>-7949.4159950000467</v>
          </cell>
          <cell r="AI277">
            <v>860950.58400499995</v>
          </cell>
          <cell r="AN277">
            <v>860950.58400499995</v>
          </cell>
          <cell r="AO277">
            <v>861000</v>
          </cell>
          <cell r="AP277">
            <v>860950.58</v>
          </cell>
          <cell r="AQ277">
            <v>86095.058400499998</v>
          </cell>
          <cell r="AR277">
            <v>10000</v>
          </cell>
          <cell r="AS277">
            <v>76095.058400499998</v>
          </cell>
          <cell r="AT277">
            <v>774855.52560449997</v>
          </cell>
          <cell r="AU277">
            <v>5291.1372567538874</v>
          </cell>
          <cell r="AV277">
            <v>413.53985050560368</v>
          </cell>
          <cell r="AW277">
            <v>251.1105870014583</v>
          </cell>
          <cell r="AX277">
            <v>5955.7876942609491</v>
          </cell>
          <cell r="AY277" t="e">
            <v>#REF!</v>
          </cell>
          <cell r="BF277" t="str">
            <v>PCV</v>
          </cell>
          <cell r="BG277" t="str">
            <v>Christian Colindres</v>
          </cell>
          <cell r="BH277" t="str">
            <v>Antonio Rada</v>
          </cell>
          <cell r="BJ277">
            <v>1</v>
          </cell>
          <cell r="BM277">
            <v>1</v>
          </cell>
          <cell r="BN277">
            <v>1</v>
          </cell>
          <cell r="BO277">
            <v>861000</v>
          </cell>
          <cell r="BP277">
            <v>-7900</v>
          </cell>
        </row>
        <row r="278">
          <cell r="B278">
            <v>1610</v>
          </cell>
          <cell r="C278" t="str">
            <v>B3</v>
          </cell>
          <cell r="D278">
            <v>48.96</v>
          </cell>
          <cell r="E278">
            <v>2</v>
          </cell>
          <cell r="G278">
            <v>1.26</v>
          </cell>
          <cell r="H278">
            <v>1</v>
          </cell>
          <cell r="L278" t="str">
            <v>IGUAL</v>
          </cell>
          <cell r="M278" t="str">
            <v>S-2_69</v>
          </cell>
          <cell r="N278" t="str">
            <v>S2_69</v>
          </cell>
          <cell r="O278" t="str">
            <v>S2_46</v>
          </cell>
          <cell r="P278" t="str">
            <v>MISMO SÓTANO</v>
          </cell>
          <cell r="Q278">
            <v>13368.75</v>
          </cell>
          <cell r="R278">
            <v>782634.28799999994</v>
          </cell>
          <cell r="S278">
            <v>855419.27678399987</v>
          </cell>
          <cell r="T278">
            <v>782708.14272644103</v>
          </cell>
          <cell r="U278">
            <v>855500</v>
          </cell>
          <cell r="V278">
            <v>42800</v>
          </cell>
          <cell r="W278">
            <v>898300</v>
          </cell>
          <cell r="AA278">
            <v>898300</v>
          </cell>
          <cell r="AC278">
            <v>898300</v>
          </cell>
          <cell r="AF278">
            <v>898300</v>
          </cell>
          <cell r="AH278">
            <v>-8218.6600000000326</v>
          </cell>
          <cell r="AI278">
            <v>890081.34</v>
          </cell>
          <cell r="AN278">
            <v>890081.34</v>
          </cell>
          <cell r="AO278">
            <v>890100</v>
          </cell>
          <cell r="AP278">
            <v>890081.34</v>
          </cell>
          <cell r="AQ278">
            <v>89008.134000000005</v>
          </cell>
          <cell r="AR278">
            <v>10000</v>
          </cell>
          <cell r="AS278">
            <v>79008.134000000005</v>
          </cell>
          <cell r="AT278">
            <v>801073.20600000001</v>
          </cell>
          <cell r="AU278">
            <v>5470.1659155713787</v>
          </cell>
          <cell r="AV278">
            <v>427.53220814272635</v>
          </cell>
          <cell r="AW278">
            <v>259.6070575</v>
          </cell>
          <cell r="AX278">
            <v>6157.3051812141057</v>
          </cell>
          <cell r="AY278" t="e">
            <v>#REF!</v>
          </cell>
          <cell r="BF278" t="str">
            <v>PCV</v>
          </cell>
          <cell r="BG278" t="str">
            <v>Grupo Sak y Sak S.A</v>
          </cell>
          <cell r="BH278" t="str">
            <v>Antonio Rada</v>
          </cell>
          <cell r="BL278">
            <v>1</v>
          </cell>
          <cell r="BN278">
            <v>1</v>
          </cell>
          <cell r="BO278">
            <v>890500</v>
          </cell>
          <cell r="BP278">
            <v>-7800</v>
          </cell>
        </row>
        <row r="279">
          <cell r="B279">
            <v>1611</v>
          </cell>
          <cell r="C279" t="str">
            <v>E8</v>
          </cell>
          <cell r="D279">
            <v>74.260000000000005</v>
          </cell>
          <cell r="E279">
            <v>3</v>
          </cell>
          <cell r="F279">
            <v>1</v>
          </cell>
          <cell r="G279">
            <v>1.26</v>
          </cell>
          <cell r="I279">
            <v>1</v>
          </cell>
          <cell r="J279">
            <v>39</v>
          </cell>
          <cell r="K279">
            <v>44</v>
          </cell>
          <cell r="L279" t="str">
            <v>DIFERENTE</v>
          </cell>
          <cell r="M279" t="str">
            <v>S-2_125-126</v>
          </cell>
          <cell r="N279" t="str">
            <v>S2_125-126</v>
          </cell>
          <cell r="O279" t="str">
            <v>S2_84</v>
          </cell>
          <cell r="P279" t="str">
            <v>MISMO SÓTANO</v>
          </cell>
          <cell r="Q279">
            <v>13368.75</v>
          </cell>
          <cell r="R279">
            <v>1283007.6630000002</v>
          </cell>
          <cell r="S279">
            <v>1402327.3756590001</v>
          </cell>
          <cell r="T279">
            <v>1283074.1079597438</v>
          </cell>
          <cell r="U279">
            <v>1402400</v>
          </cell>
          <cell r="V279">
            <v>35100</v>
          </cell>
          <cell r="W279">
            <v>1437500</v>
          </cell>
          <cell r="AA279">
            <v>1437500</v>
          </cell>
          <cell r="AC279">
            <v>1437500</v>
          </cell>
          <cell r="AF279">
            <v>1437500</v>
          </cell>
          <cell r="AH279">
            <v>0</v>
          </cell>
          <cell r="AI279">
            <v>1437500</v>
          </cell>
          <cell r="AJ279">
            <v>40000</v>
          </cell>
          <cell r="AK279">
            <v>10000</v>
          </cell>
          <cell r="AN279">
            <v>1487500</v>
          </cell>
          <cell r="AO279">
            <v>1487500</v>
          </cell>
          <cell r="AP279">
            <v>1487500</v>
          </cell>
          <cell r="AQ279">
            <v>143750</v>
          </cell>
          <cell r="AR279">
            <v>10000</v>
          </cell>
          <cell r="AS279">
            <v>133750</v>
          </cell>
          <cell r="AT279">
            <v>1293750</v>
          </cell>
          <cell r="AU279">
            <v>8834.4324841523539</v>
          </cell>
          <cell r="AV279">
            <v>690.47346752058547</v>
          </cell>
          <cell r="AW279">
            <v>419.27083333333331</v>
          </cell>
          <cell r="AX279">
            <v>9944.1767850062733</v>
          </cell>
          <cell r="AY279" t="e">
            <v>#REF!</v>
          </cell>
          <cell r="BF279" t="str">
            <v>PCV</v>
          </cell>
          <cell r="BG279" t="str">
            <v>Luis Alexander Valencia Mendez</v>
          </cell>
          <cell r="BH279" t="str">
            <v>Anahi Cisneros</v>
          </cell>
          <cell r="BI279">
            <v>45970</v>
          </cell>
          <cell r="BO279">
            <v>1437500</v>
          </cell>
          <cell r="BP279">
            <v>0</v>
          </cell>
        </row>
        <row r="280">
          <cell r="B280">
            <v>1612</v>
          </cell>
          <cell r="C280" t="str">
            <v>A10</v>
          </cell>
          <cell r="D280">
            <v>44.7</v>
          </cell>
          <cell r="E280">
            <v>1</v>
          </cell>
          <cell r="G280">
            <v>2.88</v>
          </cell>
          <cell r="H280">
            <v>1</v>
          </cell>
          <cell r="L280" t="str">
            <v>IGUAL</v>
          </cell>
          <cell r="M280" t="str">
            <v>S-2_121</v>
          </cell>
          <cell r="N280" t="str">
            <v>S2_121</v>
          </cell>
          <cell r="O280" t="str">
            <v>S2_81</v>
          </cell>
          <cell r="P280" t="str">
            <v>MISMO SÓTANO</v>
          </cell>
          <cell r="Q280">
            <v>13368.75</v>
          </cell>
          <cell r="R280">
            <v>736098.06900000002</v>
          </cell>
          <cell r="S280">
            <v>804555.18941700005</v>
          </cell>
          <cell r="T280">
            <v>736139.06678865512</v>
          </cell>
          <cell r="U280">
            <v>804600</v>
          </cell>
          <cell r="V280">
            <v>44300</v>
          </cell>
          <cell r="W280">
            <v>848900</v>
          </cell>
          <cell r="X280">
            <v>29711.500000000004</v>
          </cell>
          <cell r="AA280">
            <v>878611.5</v>
          </cell>
          <cell r="AB280">
            <v>87861.150000000009</v>
          </cell>
          <cell r="AC280">
            <v>966472.65</v>
          </cell>
          <cell r="AF280">
            <v>966472.65</v>
          </cell>
          <cell r="AH280">
            <v>16110.991688127979</v>
          </cell>
          <cell r="AI280">
            <v>982583.641688128</v>
          </cell>
          <cell r="AJ280">
            <v>225994.23758826946</v>
          </cell>
          <cell r="AK280">
            <v>10000</v>
          </cell>
          <cell r="AN280">
            <v>1218577.8792763974</v>
          </cell>
          <cell r="AO280">
            <v>1218600</v>
          </cell>
          <cell r="AP280">
            <v>1218600</v>
          </cell>
          <cell r="AQ280">
            <v>98258.364168812812</v>
          </cell>
          <cell r="AR280">
            <v>10000</v>
          </cell>
          <cell r="AS280">
            <v>88258.364168812812</v>
          </cell>
          <cell r="AT280">
            <v>884325.27751931525</v>
          </cell>
          <cell r="AU280">
            <v>6038.6565861052632</v>
          </cell>
          <cell r="AV280">
            <v>471.96378031680433</v>
          </cell>
          <cell r="AW280">
            <v>286.58689549237067</v>
          </cell>
          <cell r="AX280">
            <v>6797.2072619144383</v>
          </cell>
          <cell r="AY280" t="e">
            <v>#REF!</v>
          </cell>
          <cell r="BF280" t="str">
            <v>Reservado</v>
          </cell>
          <cell r="BG280" t="str">
            <v>Allan Rodrigo Godinez Padilla</v>
          </cell>
          <cell r="BH280" t="str">
            <v>Erwin Cardona</v>
          </cell>
          <cell r="BI280">
            <v>46063</v>
          </cell>
          <cell r="BL280">
            <v>1</v>
          </cell>
          <cell r="BN280">
            <v>1</v>
          </cell>
          <cell r="BO280">
            <v>848900</v>
          </cell>
          <cell r="BP280">
            <v>-29711.5</v>
          </cell>
        </row>
        <row r="281">
          <cell r="B281">
            <v>1701</v>
          </cell>
          <cell r="C281" t="str">
            <v>E6</v>
          </cell>
          <cell r="D281">
            <v>74.260000000000005</v>
          </cell>
          <cell r="E281">
            <v>3</v>
          </cell>
          <cell r="F281">
            <v>1</v>
          </cell>
          <cell r="G281">
            <v>1.26</v>
          </cell>
          <cell r="I281">
            <v>1</v>
          </cell>
          <cell r="J281">
            <v>16</v>
          </cell>
          <cell r="K281">
            <v>21</v>
          </cell>
          <cell r="L281" t="str">
            <v>DIFERENTE</v>
          </cell>
          <cell r="M281" t="str">
            <v>S-1_44-45</v>
          </cell>
          <cell r="N281" t="str">
            <v>S1_44-45</v>
          </cell>
          <cell r="O281" t="str">
            <v>S1_22</v>
          </cell>
          <cell r="P281" t="str">
            <v>MISMO SÓTANO</v>
          </cell>
          <cell r="Q281">
            <v>13368.75</v>
          </cell>
          <cell r="R281">
            <v>1283007.6630000002</v>
          </cell>
          <cell r="S281">
            <v>1402327.3756590001</v>
          </cell>
          <cell r="T281">
            <v>1283074.1079597438</v>
          </cell>
          <cell r="U281">
            <v>1402400</v>
          </cell>
          <cell r="W281">
            <v>1402400</v>
          </cell>
          <cell r="AA281">
            <v>1402400</v>
          </cell>
          <cell r="AC281">
            <v>1402400</v>
          </cell>
          <cell r="AF281">
            <v>1402400</v>
          </cell>
          <cell r="AH281">
            <v>-12830</v>
          </cell>
          <cell r="AI281">
            <v>1389570</v>
          </cell>
          <cell r="AN281">
            <v>1389570</v>
          </cell>
          <cell r="AO281">
            <v>1389600</v>
          </cell>
          <cell r="AP281">
            <v>1389570</v>
          </cell>
          <cell r="AQ281">
            <v>138957</v>
          </cell>
          <cell r="AR281">
            <v>10000</v>
          </cell>
          <cell r="AS281">
            <v>128957</v>
          </cell>
          <cell r="AT281">
            <v>1250613</v>
          </cell>
          <cell r="AU281">
            <v>8539.8694587851041</v>
          </cell>
          <cell r="AV281">
            <v>667.45128087831642</v>
          </cell>
          <cell r="AW281">
            <v>405.29124999999999</v>
          </cell>
          <cell r="AX281">
            <v>9612.6119896634209</v>
          </cell>
          <cell r="AY281" t="e">
            <v>#REF!</v>
          </cell>
          <cell r="BF281" t="str">
            <v>PCV</v>
          </cell>
          <cell r="BG281" t="str">
            <v>Ramiro Muñoz</v>
          </cell>
          <cell r="BH281" t="str">
            <v>Brenda Búcaro</v>
          </cell>
          <cell r="BK281">
            <v>1</v>
          </cell>
          <cell r="BN281">
            <v>1</v>
          </cell>
          <cell r="BO281">
            <v>1389600</v>
          </cell>
          <cell r="BP281">
            <v>-12800</v>
          </cell>
        </row>
        <row r="282">
          <cell r="B282">
            <v>1702</v>
          </cell>
          <cell r="C282" t="str">
            <v>A3</v>
          </cell>
          <cell r="D282">
            <v>35.94</v>
          </cell>
          <cell r="E282">
            <v>1</v>
          </cell>
          <cell r="G282">
            <v>1.49</v>
          </cell>
          <cell r="H282">
            <v>1</v>
          </cell>
          <cell r="L282" t="str">
            <v>IGUAL</v>
          </cell>
          <cell r="M282" t="str">
            <v>S-2_122</v>
          </cell>
          <cell r="N282" t="str">
            <v>S2_122</v>
          </cell>
          <cell r="O282" t="str">
            <v>S2_82</v>
          </cell>
          <cell r="P282" t="str">
            <v>MISMO SÓTANO</v>
          </cell>
          <cell r="Q282">
            <v>13368.75</v>
          </cell>
          <cell r="R282">
            <v>610051.78700000001</v>
          </cell>
          <cell r="S282">
            <v>666786.60319099994</v>
          </cell>
          <cell r="T282">
            <v>610064.04391582799</v>
          </cell>
          <cell r="U282">
            <v>666800</v>
          </cell>
          <cell r="V282">
            <v>36700</v>
          </cell>
          <cell r="W282">
            <v>703500</v>
          </cell>
          <cell r="AA282">
            <v>703500</v>
          </cell>
          <cell r="AC282">
            <v>703500</v>
          </cell>
          <cell r="AF282">
            <v>703500</v>
          </cell>
          <cell r="AH282">
            <v>-36700</v>
          </cell>
          <cell r="AI282">
            <v>666800</v>
          </cell>
          <cell r="AN282">
            <v>666800</v>
          </cell>
          <cell r="AO282">
            <v>666800</v>
          </cell>
          <cell r="AP282">
            <v>666800</v>
          </cell>
          <cell r="AQ282">
            <v>66680</v>
          </cell>
          <cell r="AR282">
            <v>10000</v>
          </cell>
          <cell r="AS282">
            <v>56680</v>
          </cell>
          <cell r="AT282">
            <v>600120</v>
          </cell>
          <cell r="AU282">
            <v>4097.947534214115</v>
          </cell>
          <cell r="AV282">
            <v>320.28362305580964</v>
          </cell>
          <cell r="AW282">
            <v>194.48333333333335</v>
          </cell>
          <cell r="AX282">
            <v>4612.7144906032581</v>
          </cell>
          <cell r="AY282" t="e">
            <v>#REF!</v>
          </cell>
          <cell r="BF282" t="str">
            <v>PCV</v>
          </cell>
          <cell r="BG282" t="str">
            <v>David Donis</v>
          </cell>
          <cell r="BH282" t="str">
            <v>Brenda Búcaro</v>
          </cell>
          <cell r="BL282">
            <v>1</v>
          </cell>
          <cell r="BO282">
            <v>703500</v>
          </cell>
          <cell r="BP282">
            <v>0</v>
          </cell>
        </row>
        <row r="283">
          <cell r="B283">
            <v>1703</v>
          </cell>
          <cell r="C283" t="str">
            <v>D5</v>
          </cell>
          <cell r="D283">
            <v>66.45</v>
          </cell>
          <cell r="E283">
            <v>3</v>
          </cell>
          <cell r="F283">
            <v>1</v>
          </cell>
          <cell r="G283">
            <v>1.47</v>
          </cell>
          <cell r="I283">
            <v>1</v>
          </cell>
          <cell r="J283">
            <v>24</v>
          </cell>
          <cell r="K283">
            <v>29</v>
          </cell>
          <cell r="L283" t="str">
            <v>DIFERENTE</v>
          </cell>
          <cell r="M283" t="str">
            <v>S-2_97-98</v>
          </cell>
          <cell r="N283" t="str">
            <v>S2_97-98</v>
          </cell>
          <cell r="O283" t="str">
            <v>S2_69</v>
          </cell>
          <cell r="P283" t="str">
            <v>MISMO SÓTANO</v>
          </cell>
          <cell r="Q283">
            <v>13368.75</v>
          </cell>
          <cell r="R283">
            <v>1179947.7735000001</v>
          </cell>
          <cell r="S283">
            <v>1289682.9164355001</v>
          </cell>
          <cell r="T283">
            <v>1179963.4034766697</v>
          </cell>
          <cell r="U283">
            <v>1289700</v>
          </cell>
          <cell r="V283">
            <v>32300</v>
          </cell>
          <cell r="W283">
            <v>1322000</v>
          </cell>
          <cell r="AA283">
            <v>1322000</v>
          </cell>
          <cell r="AC283">
            <v>1322000</v>
          </cell>
          <cell r="AF283">
            <v>1322000</v>
          </cell>
          <cell r="AG283">
            <v>66100</v>
          </cell>
          <cell r="AH283">
            <v>61900.002764479897</v>
          </cell>
          <cell r="AI283">
            <v>1450000.00276448</v>
          </cell>
          <cell r="AN283">
            <v>1450000.00276448</v>
          </cell>
          <cell r="AO283">
            <v>1450100</v>
          </cell>
          <cell r="AP283">
            <v>1450000</v>
          </cell>
          <cell r="AQ283">
            <v>145000.000276448</v>
          </cell>
          <cell r="AR283">
            <v>10000</v>
          </cell>
          <cell r="AS283">
            <v>135000.000276448</v>
          </cell>
          <cell r="AT283">
            <v>1305000.002488032</v>
          </cell>
          <cell r="AU283">
            <v>8911.2536531781061</v>
          </cell>
          <cell r="AV283">
            <v>696.47758595732103</v>
          </cell>
          <cell r="AW283">
            <v>422.91666747297336</v>
          </cell>
          <cell r="AX283">
            <v>10030.647906608401</v>
          </cell>
          <cell r="AY283" t="e">
            <v>#REF!</v>
          </cell>
          <cell r="BF283" t="str">
            <v>PCV</v>
          </cell>
          <cell r="BG283" t="str">
            <v>Rolando Antonio Pineda Juarez</v>
          </cell>
          <cell r="BH283" t="str">
            <v>Antonio Rada</v>
          </cell>
          <cell r="BI283">
            <v>45759</v>
          </cell>
          <cell r="BL283" t="str">
            <v>Facebook</v>
          </cell>
          <cell r="BN283">
            <v>1</v>
          </cell>
          <cell r="BO283">
            <v>1322000</v>
          </cell>
          <cell r="BP283">
            <v>0</v>
          </cell>
        </row>
        <row r="284">
          <cell r="B284">
            <v>1704</v>
          </cell>
          <cell r="C284" t="str">
            <v>A5</v>
          </cell>
          <cell r="D284">
            <v>32.57</v>
          </cell>
          <cell r="E284">
            <v>1</v>
          </cell>
          <cell r="G284">
            <v>1.49</v>
          </cell>
          <cell r="H284">
            <v>1</v>
          </cell>
          <cell r="L284" t="str">
            <v>IGUAL</v>
          </cell>
          <cell r="M284" t="str">
            <v>S-2_127</v>
          </cell>
          <cell r="N284" t="str">
            <v>S2_127</v>
          </cell>
          <cell r="O284" t="str">
            <v>S2_85</v>
          </cell>
          <cell r="P284" t="str">
            <v>MISMO SÓTANO</v>
          </cell>
          <cell r="Q284">
            <v>13368.75</v>
          </cell>
          <cell r="R284">
            <v>564999.09950000001</v>
          </cell>
          <cell r="S284">
            <v>617544.01575350005</v>
          </cell>
          <cell r="T284">
            <v>565050.32021957915</v>
          </cell>
          <cell r="U284">
            <v>617600</v>
          </cell>
          <cell r="W284">
            <v>617600</v>
          </cell>
          <cell r="AA284">
            <v>617600</v>
          </cell>
          <cell r="AC284">
            <v>617600</v>
          </cell>
          <cell r="AF284">
            <v>617600</v>
          </cell>
          <cell r="AH284">
            <v>0</v>
          </cell>
          <cell r="AI284">
            <v>617600</v>
          </cell>
          <cell r="AN284">
            <v>617600</v>
          </cell>
          <cell r="AO284">
            <v>617600</v>
          </cell>
          <cell r="AP284">
            <v>617600</v>
          </cell>
          <cell r="AQ284">
            <v>61760</v>
          </cell>
          <cell r="AR284">
            <v>10000</v>
          </cell>
          <cell r="AS284">
            <v>51760</v>
          </cell>
          <cell r="AT284">
            <v>555840</v>
          </cell>
          <cell r="AU284">
            <v>3795.5794797999961</v>
          </cell>
          <cell r="AV284">
            <v>296.651418115279</v>
          </cell>
          <cell r="AW284">
            <v>180.13333333333333</v>
          </cell>
          <cell r="AX284">
            <v>4272.3642312486081</v>
          </cell>
          <cell r="AY284" t="e">
            <v>#REF!</v>
          </cell>
          <cell r="BF284" t="str">
            <v>PCV</v>
          </cell>
          <cell r="BG284" t="str">
            <v>Javier Soto</v>
          </cell>
          <cell r="BH284" t="str">
            <v>Brenda Búcaro</v>
          </cell>
          <cell r="BK284">
            <v>1</v>
          </cell>
          <cell r="BM284">
            <v>1</v>
          </cell>
          <cell r="BN284">
            <v>1</v>
          </cell>
          <cell r="BO284">
            <v>617600</v>
          </cell>
          <cell r="BP284">
            <v>0</v>
          </cell>
        </row>
        <row r="285">
          <cell r="B285">
            <v>1705</v>
          </cell>
          <cell r="C285" t="str">
            <v>D6</v>
          </cell>
          <cell r="D285">
            <v>66.73</v>
          </cell>
          <cell r="E285">
            <v>3</v>
          </cell>
          <cell r="F285">
            <v>1</v>
          </cell>
          <cell r="G285">
            <v>1.51</v>
          </cell>
          <cell r="I285">
            <v>1</v>
          </cell>
          <cell r="J285">
            <v>25</v>
          </cell>
          <cell r="K285">
            <v>30</v>
          </cell>
          <cell r="L285" t="str">
            <v>DIFERENTE</v>
          </cell>
          <cell r="M285" t="str">
            <v>S-2_99-100</v>
          </cell>
          <cell r="N285" t="str">
            <v>S2_99-100</v>
          </cell>
          <cell r="O285" t="str">
            <v>S2_70</v>
          </cell>
          <cell r="P285" t="str">
            <v>MISMO SÓTANO</v>
          </cell>
          <cell r="Q285">
            <v>13368.75</v>
          </cell>
          <cell r="R285">
            <v>1183948.1754999999</v>
          </cell>
          <cell r="S285">
            <v>1294055.3558214998</v>
          </cell>
          <cell r="T285">
            <v>1183989.021043001</v>
          </cell>
          <cell r="U285">
            <v>1294100</v>
          </cell>
          <cell r="V285">
            <v>32400</v>
          </cell>
          <cell r="W285">
            <v>1326500</v>
          </cell>
          <cell r="AA285">
            <v>1326500</v>
          </cell>
          <cell r="AC285">
            <v>1326500</v>
          </cell>
          <cell r="AF285">
            <v>1326500</v>
          </cell>
          <cell r="AG285">
            <v>66325</v>
          </cell>
          <cell r="AH285">
            <v>53218.237989469897</v>
          </cell>
          <cell r="AI285">
            <v>1446043.2379894699</v>
          </cell>
          <cell r="AN285">
            <v>1446043.2379894699</v>
          </cell>
          <cell r="AO285">
            <v>1446100</v>
          </cell>
          <cell r="AP285">
            <v>1446043.24</v>
          </cell>
          <cell r="AQ285">
            <v>144604.32379894701</v>
          </cell>
          <cell r="AR285">
            <v>10000</v>
          </cell>
          <cell r="AS285">
            <v>134604.32379894701</v>
          </cell>
          <cell r="AT285">
            <v>1301438.9141905229</v>
          </cell>
          <cell r="AU285">
            <v>8886.936594909932</v>
          </cell>
          <cell r="AV285">
            <v>694.57703563080668</v>
          </cell>
          <cell r="AW285">
            <v>421.76261108026205</v>
          </cell>
          <cell r="AX285">
            <v>10003.276241621001</v>
          </cell>
          <cell r="AY285" t="e">
            <v>#REF!</v>
          </cell>
          <cell r="BF285" t="str">
            <v>PCV</v>
          </cell>
          <cell r="BG285" t="str">
            <v>Maxi Alexander Mendez Moran</v>
          </cell>
          <cell r="BH285" t="str">
            <v>Antonio Rada</v>
          </cell>
          <cell r="BI285">
            <v>45749</v>
          </cell>
          <cell r="BL285" t="str">
            <v>Facebook</v>
          </cell>
          <cell r="BN285">
            <v>1</v>
          </cell>
          <cell r="BO285">
            <v>1326500</v>
          </cell>
          <cell r="BP285">
            <v>0</v>
          </cell>
        </row>
        <row r="286">
          <cell r="B286">
            <v>1706</v>
          </cell>
          <cell r="C286" t="str">
            <v>B4</v>
          </cell>
          <cell r="D286">
            <v>49.77</v>
          </cell>
          <cell r="E286">
            <v>2</v>
          </cell>
          <cell r="G286">
            <v>1.49</v>
          </cell>
          <cell r="H286">
            <v>1</v>
          </cell>
          <cell r="L286" t="str">
            <v>IGUAL</v>
          </cell>
          <cell r="M286" t="str">
            <v>S-2_128</v>
          </cell>
          <cell r="N286" t="str">
            <v>S2_128</v>
          </cell>
          <cell r="O286" t="str">
            <v>S2_86</v>
          </cell>
          <cell r="P286" t="str">
            <v>MISMO SÓTANO</v>
          </cell>
          <cell r="Q286">
            <v>13368.75</v>
          </cell>
          <cell r="R286">
            <v>794941.59950000001</v>
          </cell>
          <cell r="S286">
            <v>868871.16825350001</v>
          </cell>
          <cell r="T286">
            <v>794967.978042086</v>
          </cell>
          <cell r="U286">
            <v>868900</v>
          </cell>
          <cell r="W286">
            <v>868900</v>
          </cell>
          <cell r="AA286">
            <v>868900</v>
          </cell>
          <cell r="AC286">
            <v>868900</v>
          </cell>
          <cell r="AF286">
            <v>868900</v>
          </cell>
          <cell r="AH286">
            <v>-7949</v>
          </cell>
          <cell r="AI286">
            <v>860951</v>
          </cell>
          <cell r="AN286">
            <v>860951</v>
          </cell>
          <cell r="AO286">
            <v>861000</v>
          </cell>
          <cell r="AP286">
            <v>860951</v>
          </cell>
          <cell r="AQ286">
            <v>86095.1</v>
          </cell>
          <cell r="AR286">
            <v>10000</v>
          </cell>
          <cell r="AS286">
            <v>76095.100000000006</v>
          </cell>
          <cell r="AT286">
            <v>774855.9</v>
          </cell>
          <cell r="AU286">
            <v>5291.1398133310986</v>
          </cell>
          <cell r="AV286">
            <v>413.54005032021951</v>
          </cell>
          <cell r="AW286">
            <v>251.11070833333335</v>
          </cell>
          <cell r="AX286">
            <v>5955.7905719846513</v>
          </cell>
          <cell r="AY286" t="e">
            <v>#REF!</v>
          </cell>
          <cell r="BF286" t="str">
            <v>PCV</v>
          </cell>
          <cell r="BG286" t="str">
            <v>David Arimany</v>
          </cell>
          <cell r="BH286" t="str">
            <v>Alexander Franco</v>
          </cell>
          <cell r="BJ286">
            <v>1</v>
          </cell>
          <cell r="BN286">
            <v>1</v>
          </cell>
          <cell r="BO286">
            <v>861000</v>
          </cell>
          <cell r="BP286">
            <v>-7900</v>
          </cell>
        </row>
        <row r="287">
          <cell r="B287">
            <v>1707</v>
          </cell>
          <cell r="C287" t="str">
            <v>B5</v>
          </cell>
          <cell r="D287">
            <v>52.51</v>
          </cell>
          <cell r="E287">
            <v>2</v>
          </cell>
          <cell r="G287">
            <v>1.35</v>
          </cell>
          <cell r="H287">
            <v>1</v>
          </cell>
          <cell r="L287" t="str">
            <v>IGUAL</v>
          </cell>
          <cell r="M287" t="str">
            <v>S-2_50</v>
          </cell>
          <cell r="N287" t="str">
            <v>S2_50</v>
          </cell>
          <cell r="O287" t="str">
            <v>S2_60</v>
          </cell>
          <cell r="P287" t="str">
            <v>MISMO SÓTANO</v>
          </cell>
          <cell r="Q287">
            <v>13368.75</v>
          </cell>
          <cell r="R287">
            <v>830671.9425</v>
          </cell>
          <cell r="S287">
            <v>907924.43315249996</v>
          </cell>
          <cell r="T287">
            <v>830741.07959743822</v>
          </cell>
          <cell r="U287">
            <v>908000</v>
          </cell>
          <cell r="V287">
            <v>0</v>
          </cell>
          <cell r="W287">
            <v>908000</v>
          </cell>
          <cell r="AA287">
            <v>908000</v>
          </cell>
          <cell r="AC287">
            <v>908000</v>
          </cell>
          <cell r="AF287">
            <v>908000</v>
          </cell>
          <cell r="AG287">
            <v>0</v>
          </cell>
          <cell r="AH287">
            <v>15136.259109682054</v>
          </cell>
          <cell r="AI287">
            <v>980300</v>
          </cell>
          <cell r="AN287">
            <v>980300</v>
          </cell>
          <cell r="AO287">
            <v>980300</v>
          </cell>
          <cell r="AP287">
            <v>908000</v>
          </cell>
          <cell r="AQ287">
            <v>98030</v>
          </cell>
          <cell r="AR287">
            <v>10000</v>
          </cell>
          <cell r="AS287">
            <v>88030</v>
          </cell>
          <cell r="AT287">
            <v>882270</v>
          </cell>
          <cell r="AU287">
            <v>6024.6220272796891</v>
          </cell>
          <cell r="AV287">
            <v>470.86688014638599</v>
          </cell>
          <cell r="AW287">
            <v>285.92083333333335</v>
          </cell>
          <cell r="AX287">
            <v>6781.409740759409</v>
          </cell>
          <cell r="AY287" t="e">
            <v>#REF!</v>
          </cell>
          <cell r="BF287" t="str">
            <v>PCV</v>
          </cell>
          <cell r="BG287" t="str">
            <v>Miguel Yon</v>
          </cell>
          <cell r="BH287" t="str">
            <v>Antonio Rada</v>
          </cell>
          <cell r="BJ287">
            <v>1</v>
          </cell>
          <cell r="BN287">
            <v>1</v>
          </cell>
          <cell r="BO287">
            <v>1029400</v>
          </cell>
          <cell r="BP287">
            <v>121400</v>
          </cell>
        </row>
        <row r="288">
          <cell r="B288">
            <v>1708</v>
          </cell>
          <cell r="C288" t="str">
            <v>E4</v>
          </cell>
          <cell r="D288">
            <v>69.790000000000006</v>
          </cell>
          <cell r="E288">
            <v>3</v>
          </cell>
          <cell r="F288">
            <v>1</v>
          </cell>
          <cell r="G288">
            <v>1.51</v>
          </cell>
          <cell r="I288">
            <v>1</v>
          </cell>
          <cell r="J288">
            <v>38</v>
          </cell>
          <cell r="K288">
            <v>43</v>
          </cell>
          <cell r="L288" t="str">
            <v>DIFERENTE</v>
          </cell>
          <cell r="M288" t="str">
            <v>S-2_123-124</v>
          </cell>
          <cell r="N288" t="str">
            <v>S2_123-124</v>
          </cell>
          <cell r="O288" t="str">
            <v>S2_83</v>
          </cell>
          <cell r="P288" t="str">
            <v>MISMO SÓTANO</v>
          </cell>
          <cell r="Q288">
            <v>13368.75</v>
          </cell>
          <cell r="R288">
            <v>1224856.5505000001</v>
          </cell>
          <cell r="S288">
            <v>1338768.2096965001</v>
          </cell>
          <cell r="T288">
            <v>1224885.6358645929</v>
          </cell>
          <cell r="U288">
            <v>1338800</v>
          </cell>
          <cell r="V288">
            <v>33500</v>
          </cell>
          <cell r="W288">
            <v>1372300</v>
          </cell>
          <cell r="AA288">
            <v>1372300</v>
          </cell>
          <cell r="AC288">
            <v>1372300</v>
          </cell>
          <cell r="AD288">
            <v>54892</v>
          </cell>
          <cell r="AF288">
            <v>1427192</v>
          </cell>
          <cell r="AG288">
            <v>85631.52</v>
          </cell>
          <cell r="AH288">
            <v>25218.599984519882</v>
          </cell>
          <cell r="AI288">
            <v>1538042.1199845199</v>
          </cell>
          <cell r="AJ288">
            <v>184565.05439814238</v>
          </cell>
          <cell r="AK288">
            <v>10000</v>
          </cell>
          <cell r="AN288">
            <v>1732607.1743826624</v>
          </cell>
          <cell r="AO288">
            <v>1732700</v>
          </cell>
          <cell r="AP288">
            <v>1762700</v>
          </cell>
          <cell r="AQ288">
            <v>153804.211998452</v>
          </cell>
          <cell r="AR288">
            <v>10000</v>
          </cell>
          <cell r="AS288">
            <v>143804.211998452</v>
          </cell>
          <cell r="AT288">
            <v>1384237.9079860679</v>
          </cell>
          <cell r="AU288">
            <v>9452.3334029814232</v>
          </cell>
          <cell r="AV288">
            <v>738.76680054151223</v>
          </cell>
          <cell r="AW288">
            <v>448.59561832881832</v>
          </cell>
          <cell r="AX288">
            <v>10639.695821851754</v>
          </cell>
          <cell r="AY288" t="e">
            <v>#REF!</v>
          </cell>
          <cell r="BF288" t="str">
            <v>Reservado</v>
          </cell>
          <cell r="BG288" t="str">
            <v>Carlos Aguilar</v>
          </cell>
          <cell r="BH288" t="str">
            <v>Anahi Cisneros</v>
          </cell>
          <cell r="BI288">
            <v>45957</v>
          </cell>
          <cell r="BL288" t="str">
            <v>Web Forms</v>
          </cell>
          <cell r="BN288">
            <v>1</v>
          </cell>
          <cell r="BO288">
            <v>1372300</v>
          </cell>
          <cell r="BP288">
            <v>0</v>
          </cell>
        </row>
        <row r="289">
          <cell r="B289">
            <v>1801</v>
          </cell>
          <cell r="C289" t="str">
            <v>E7</v>
          </cell>
          <cell r="D289">
            <v>74.39</v>
          </cell>
          <cell r="E289">
            <v>3</v>
          </cell>
          <cell r="F289">
            <v>1</v>
          </cell>
          <cell r="G289">
            <v>1.26</v>
          </cell>
          <cell r="I289">
            <v>1</v>
          </cell>
          <cell r="J289">
            <v>15</v>
          </cell>
          <cell r="K289">
            <v>19</v>
          </cell>
          <cell r="L289" t="str">
            <v>DIFERENTE</v>
          </cell>
          <cell r="M289" t="str">
            <v>S-1_42-43</v>
          </cell>
          <cell r="N289" t="str">
            <v>S1_42-43</v>
          </cell>
          <cell r="O289" t="str">
            <v>S1_20</v>
          </cell>
          <cell r="P289" t="str">
            <v>MISMO SÓTANO</v>
          </cell>
          <cell r="Q289">
            <v>13368.75</v>
          </cell>
          <cell r="R289">
            <v>1284745.6004999999</v>
          </cell>
          <cell r="S289">
            <v>1404226.9413464998</v>
          </cell>
          <cell r="T289">
            <v>1284812.4428179322</v>
          </cell>
          <cell r="U289">
            <v>1404300</v>
          </cell>
          <cell r="W289">
            <v>1404300</v>
          </cell>
          <cell r="AA289">
            <v>1404300</v>
          </cell>
          <cell r="AC289">
            <v>1404300</v>
          </cell>
          <cell r="AF289">
            <v>1404300</v>
          </cell>
          <cell r="AH289">
            <v>-12848</v>
          </cell>
          <cell r="AI289">
            <v>1391452</v>
          </cell>
          <cell r="AN289">
            <v>1391452</v>
          </cell>
          <cell r="AO289">
            <v>1391500</v>
          </cell>
          <cell r="AP289">
            <v>1391452</v>
          </cell>
          <cell r="AQ289">
            <v>139145.20000000001</v>
          </cell>
          <cell r="AR289">
            <v>10000</v>
          </cell>
          <cell r="AS289">
            <v>129145.20000000001</v>
          </cell>
          <cell r="AT289">
            <v>1252306.8</v>
          </cell>
          <cell r="AU289">
            <v>8551.4356514356605</v>
          </cell>
          <cell r="AV289">
            <v>668.35526075022869</v>
          </cell>
          <cell r="AW289">
            <v>405.84016666666668</v>
          </cell>
          <cell r="AX289">
            <v>9625.6310788525552</v>
          </cell>
          <cell r="AY289" t="e">
            <v>#REF!</v>
          </cell>
          <cell r="BF289" t="str">
            <v>PCV</v>
          </cell>
          <cell r="BG289" t="str">
            <v>Luis Arimany</v>
          </cell>
          <cell r="BH289" t="str">
            <v>Alexander Franco</v>
          </cell>
          <cell r="BJ289">
            <v>1</v>
          </cell>
          <cell r="BN289">
            <v>1</v>
          </cell>
          <cell r="BO289">
            <v>1391500</v>
          </cell>
          <cell r="BP289">
            <v>-12800</v>
          </cell>
        </row>
        <row r="290">
          <cell r="B290">
            <v>1802</v>
          </cell>
          <cell r="C290" t="str">
            <v>A10</v>
          </cell>
          <cell r="D290">
            <v>44.7</v>
          </cell>
          <cell r="E290">
            <v>1</v>
          </cell>
          <cell r="G290">
            <v>2.88</v>
          </cell>
          <cell r="H290">
            <v>1</v>
          </cell>
          <cell r="L290" t="str">
            <v>IGUAL</v>
          </cell>
          <cell r="M290" t="str">
            <v>S-2_430</v>
          </cell>
          <cell r="N290" t="str">
            <v>S2_430</v>
          </cell>
          <cell r="O290" t="str">
            <v>S2_61</v>
          </cell>
          <cell r="P290" t="str">
            <v>MISMO SÓTANO</v>
          </cell>
          <cell r="Q290">
            <v>13368.75</v>
          </cell>
          <cell r="R290">
            <v>736098.06900000002</v>
          </cell>
          <cell r="S290">
            <v>804555.18941700005</v>
          </cell>
          <cell r="T290">
            <v>736139.06678865512</v>
          </cell>
          <cell r="U290">
            <v>804600</v>
          </cell>
          <cell r="V290">
            <v>44300</v>
          </cell>
          <cell r="W290">
            <v>848900</v>
          </cell>
          <cell r="AA290">
            <v>848900</v>
          </cell>
          <cell r="AC290">
            <v>848900</v>
          </cell>
          <cell r="AF290">
            <v>848900</v>
          </cell>
          <cell r="AH290">
            <v>0</v>
          </cell>
          <cell r="AI290">
            <v>848900</v>
          </cell>
          <cell r="AN290">
            <v>848900</v>
          </cell>
          <cell r="AO290">
            <v>848900</v>
          </cell>
          <cell r="AP290">
            <v>848900</v>
          </cell>
          <cell r="AQ290">
            <v>84890</v>
          </cell>
          <cell r="AR290">
            <v>10000</v>
          </cell>
          <cell r="AS290">
            <v>74890</v>
          </cell>
          <cell r="AT290">
            <v>764010</v>
          </cell>
          <cell r="AU290">
            <v>5217.0780770761276</v>
          </cell>
          <cell r="AV290">
            <v>407.75160109789567</v>
          </cell>
          <cell r="AW290">
            <v>247.59583333333333</v>
          </cell>
          <cell r="AX290">
            <v>5872.4255115073565</v>
          </cell>
          <cell r="AY290" t="e">
            <v>#REF!</v>
          </cell>
          <cell r="BF290" t="str">
            <v>PCV</v>
          </cell>
          <cell r="BG290" t="str">
            <v xml:space="preserve">Fredy Velasquez </v>
          </cell>
          <cell r="BH290" t="str">
            <v>Antonio Rada</v>
          </cell>
          <cell r="BL290">
            <v>1</v>
          </cell>
          <cell r="BN290">
            <v>1</v>
          </cell>
          <cell r="BO290">
            <v>848900</v>
          </cell>
          <cell r="BP290">
            <v>0</v>
          </cell>
        </row>
        <row r="291">
          <cell r="B291">
            <v>1803</v>
          </cell>
          <cell r="C291" t="str">
            <v>D5</v>
          </cell>
          <cell r="D291">
            <v>66.45</v>
          </cell>
          <cell r="E291">
            <v>3</v>
          </cell>
          <cell r="F291">
            <v>1</v>
          </cell>
          <cell r="G291">
            <v>1.47</v>
          </cell>
          <cell r="I291">
            <v>1</v>
          </cell>
          <cell r="J291">
            <v>26</v>
          </cell>
          <cell r="K291">
            <v>31</v>
          </cell>
          <cell r="L291" t="str">
            <v>DIFERENTE</v>
          </cell>
          <cell r="M291" t="str">
            <v>S-2_101-102</v>
          </cell>
          <cell r="N291" t="str">
            <v>S2_101-102</v>
          </cell>
          <cell r="O291" t="str">
            <v>S2_71</v>
          </cell>
          <cell r="P291" t="str">
            <v>MISMO SÓTANO</v>
          </cell>
          <cell r="Q291">
            <v>13368.75</v>
          </cell>
          <cell r="R291">
            <v>1179947.7735000001</v>
          </cell>
          <cell r="S291">
            <v>1289682.9164355001</v>
          </cell>
          <cell r="T291">
            <v>1179963.4034766697</v>
          </cell>
          <cell r="U291">
            <v>1289700</v>
          </cell>
          <cell r="V291">
            <v>32300</v>
          </cell>
          <cell r="W291">
            <v>1322000</v>
          </cell>
          <cell r="AA291">
            <v>1322000</v>
          </cell>
          <cell r="AC291">
            <v>1322000</v>
          </cell>
          <cell r="AF291">
            <v>1322000</v>
          </cell>
          <cell r="AG291">
            <v>66100</v>
          </cell>
          <cell r="AH291">
            <v>23139.47</v>
          </cell>
          <cell r="AI291">
            <v>1411239.47</v>
          </cell>
          <cell r="AJ291">
            <v>155236.34169999999</v>
          </cell>
          <cell r="AK291">
            <v>10000</v>
          </cell>
          <cell r="AN291">
            <v>1576475.8117</v>
          </cell>
          <cell r="AO291">
            <v>1576500</v>
          </cell>
          <cell r="AP291">
            <v>1651500</v>
          </cell>
          <cell r="AQ291">
            <v>141123.94700000001</v>
          </cell>
          <cell r="AR291">
            <v>10000</v>
          </cell>
          <cell r="AS291">
            <v>131123.94700000001</v>
          </cell>
          <cell r="AT291">
            <v>1270115.523</v>
          </cell>
          <cell r="AU291">
            <v>8673.0433507380549</v>
          </cell>
          <cell r="AV291">
            <v>677.85976372369612</v>
          </cell>
          <cell r="AW291">
            <v>411.61151208333331</v>
          </cell>
          <cell r="AX291">
            <v>9762.514626545084</v>
          </cell>
          <cell r="AY291" t="e">
            <v>#REF!</v>
          </cell>
          <cell r="BF291" t="str">
            <v>PCV</v>
          </cell>
          <cell r="BG291" t="str">
            <v>Rivabella S.A.</v>
          </cell>
          <cell r="BH291" t="str">
            <v>Anahi Cisneros</v>
          </cell>
          <cell r="BI291">
            <v>45976</v>
          </cell>
          <cell r="BL291" t="str">
            <v>Meta</v>
          </cell>
          <cell r="BN291">
            <v>1</v>
          </cell>
          <cell r="BO291">
            <v>1322000</v>
          </cell>
          <cell r="BP291">
            <v>0</v>
          </cell>
        </row>
        <row r="292">
          <cell r="B292">
            <v>1804</v>
          </cell>
          <cell r="C292" t="str">
            <v>A5</v>
          </cell>
          <cell r="D292">
            <v>32.57</v>
          </cell>
          <cell r="E292">
            <v>1</v>
          </cell>
          <cell r="G292">
            <v>1.49</v>
          </cell>
          <cell r="H292">
            <v>1</v>
          </cell>
          <cell r="L292" t="str">
            <v>IGUAL</v>
          </cell>
          <cell r="M292" t="str">
            <v>S-3_212</v>
          </cell>
          <cell r="N292" t="str">
            <v>S3_212</v>
          </cell>
          <cell r="O292" t="str">
            <v>S3_149</v>
          </cell>
          <cell r="P292" t="str">
            <v>MISMO SÓTANO</v>
          </cell>
          <cell r="Q292">
            <v>13368.75</v>
          </cell>
          <cell r="R292">
            <v>564999.09950000001</v>
          </cell>
          <cell r="S292">
            <v>617544.02</v>
          </cell>
          <cell r="T292">
            <v>565050.31999999995</v>
          </cell>
          <cell r="U292">
            <v>617600</v>
          </cell>
          <cell r="W292">
            <v>617600</v>
          </cell>
          <cell r="AA292">
            <v>617600</v>
          </cell>
          <cell r="AC292">
            <v>617600</v>
          </cell>
          <cell r="AF292">
            <v>617600</v>
          </cell>
          <cell r="AH292">
            <v>0</v>
          </cell>
          <cell r="AI292">
            <v>617600</v>
          </cell>
          <cell r="AN292">
            <v>617600</v>
          </cell>
          <cell r="AO292">
            <v>617600</v>
          </cell>
          <cell r="AP292">
            <v>617600</v>
          </cell>
          <cell r="AQ292">
            <v>61760</v>
          </cell>
          <cell r="AR292">
            <v>10000</v>
          </cell>
          <cell r="AS292">
            <v>51760</v>
          </cell>
          <cell r="AT292">
            <v>555840</v>
          </cell>
          <cell r="AU292">
            <v>3795.5794797999961</v>
          </cell>
          <cell r="AV292">
            <v>296.651418115279</v>
          </cell>
          <cell r="AW292">
            <v>180.13333333333333</v>
          </cell>
          <cell r="AX292">
            <v>4272.3642312486081</v>
          </cell>
          <cell r="AY292" t="e">
            <v>#REF!</v>
          </cell>
          <cell r="BF292" t="str">
            <v>PCV</v>
          </cell>
          <cell r="BG292" t="str">
            <v xml:space="preserve">Cynthia Marisel Coronado Monterroso </v>
          </cell>
          <cell r="BH292" t="str">
            <v>Brenda Búcaro</v>
          </cell>
          <cell r="BL292">
            <v>1</v>
          </cell>
          <cell r="BM292">
            <v>1</v>
          </cell>
          <cell r="BN292">
            <v>1</v>
          </cell>
          <cell r="BO292">
            <v>617600</v>
          </cell>
          <cell r="BP292">
            <v>0</v>
          </cell>
        </row>
        <row r="293">
          <cell r="B293">
            <v>1805</v>
          </cell>
          <cell r="C293" t="str">
            <v>D6</v>
          </cell>
          <cell r="D293">
            <v>66.73</v>
          </cell>
          <cell r="E293">
            <v>3</v>
          </cell>
          <cell r="F293">
            <v>1</v>
          </cell>
          <cell r="G293">
            <v>1.51</v>
          </cell>
          <cell r="I293">
            <v>1</v>
          </cell>
          <cell r="J293">
            <v>27</v>
          </cell>
          <cell r="K293">
            <v>32</v>
          </cell>
          <cell r="L293" t="str">
            <v>DIFERENTE</v>
          </cell>
          <cell r="M293" t="str">
            <v>S-2_103-104</v>
          </cell>
          <cell r="N293" t="str">
            <v>S2_103-104</v>
          </cell>
          <cell r="O293" t="str">
            <v>S2_72</v>
          </cell>
          <cell r="P293" t="str">
            <v>MISMO SÓTANO</v>
          </cell>
          <cell r="Q293">
            <v>13368.75</v>
          </cell>
          <cell r="R293">
            <v>1183948.1754999999</v>
          </cell>
          <cell r="S293">
            <v>1294055.3600000001</v>
          </cell>
          <cell r="T293">
            <v>1183989.021043001</v>
          </cell>
          <cell r="U293">
            <v>1294100</v>
          </cell>
          <cell r="V293">
            <v>32400</v>
          </cell>
          <cell r="W293">
            <v>1326500</v>
          </cell>
          <cell r="AA293">
            <v>1326500</v>
          </cell>
          <cell r="AC293">
            <v>1326500</v>
          </cell>
          <cell r="AF293">
            <v>1326500</v>
          </cell>
          <cell r="AG293">
            <v>66325</v>
          </cell>
          <cell r="AH293">
            <v>23218.237989469897</v>
          </cell>
          <cell r="AI293">
            <v>1416043.2379894699</v>
          </cell>
          <cell r="AJ293">
            <v>155764.75617884169</v>
          </cell>
          <cell r="AK293">
            <v>10000</v>
          </cell>
          <cell r="AN293">
            <v>1581807.9941683116</v>
          </cell>
          <cell r="AO293">
            <v>1581900</v>
          </cell>
          <cell r="AP293">
            <v>1681900</v>
          </cell>
          <cell r="AQ293">
            <v>141604.32379894701</v>
          </cell>
          <cell r="AR293">
            <v>10000</v>
          </cell>
          <cell r="AS293">
            <v>131604.32379894701</v>
          </cell>
          <cell r="AT293">
            <v>1274438.9141905229</v>
          </cell>
          <cell r="AU293">
            <v>8702.5658300232735</v>
          </cell>
          <cell r="AV293">
            <v>680.16715456950749</v>
          </cell>
          <cell r="AW293">
            <v>413.01261108026205</v>
          </cell>
          <cell r="AX293">
            <v>9795.7455956730428</v>
          </cell>
          <cell r="AY293" t="e">
            <v>#REF!</v>
          </cell>
          <cell r="BF293" t="str">
            <v>PCV</v>
          </cell>
          <cell r="BG293" t="str">
            <v>Sergio Rafael Marroquín Sáenz/Martha Pamelha Herrera</v>
          </cell>
          <cell r="BH293" t="str">
            <v>Anahi Cisneros</v>
          </cell>
          <cell r="BI293">
            <v>45995</v>
          </cell>
          <cell r="BL293" t="str">
            <v>Meta</v>
          </cell>
          <cell r="BN293">
            <v>1</v>
          </cell>
          <cell r="BO293">
            <v>1326500</v>
          </cell>
          <cell r="BP293">
            <v>0</v>
          </cell>
        </row>
        <row r="294">
          <cell r="B294">
            <v>1806</v>
          </cell>
          <cell r="C294" t="str">
            <v>B4</v>
          </cell>
          <cell r="D294">
            <v>49.77</v>
          </cell>
          <cell r="E294">
            <v>2</v>
          </cell>
          <cell r="G294">
            <v>1.49</v>
          </cell>
          <cell r="H294">
            <v>1</v>
          </cell>
          <cell r="L294" t="str">
            <v>IGUAL</v>
          </cell>
          <cell r="M294" t="str">
            <v>S-3_174</v>
          </cell>
          <cell r="N294" t="str">
            <v>S3_174</v>
          </cell>
          <cell r="O294" t="str">
            <v>S3_129</v>
          </cell>
          <cell r="P294" t="str">
            <v>MISMO SÓTANO</v>
          </cell>
          <cell r="Q294">
            <v>13368.75</v>
          </cell>
          <cell r="R294">
            <v>794941.59950000001</v>
          </cell>
          <cell r="S294">
            <v>868871.16825350001</v>
          </cell>
          <cell r="T294">
            <v>794967.978042086</v>
          </cell>
          <cell r="U294">
            <v>868900</v>
          </cell>
          <cell r="W294">
            <v>868900</v>
          </cell>
          <cell r="AA294">
            <v>868900</v>
          </cell>
          <cell r="AC294">
            <v>868900</v>
          </cell>
          <cell r="AF294">
            <v>868900</v>
          </cell>
          <cell r="AH294">
            <v>-7949.4159950000467</v>
          </cell>
          <cell r="AI294">
            <v>860950.58400499995</v>
          </cell>
          <cell r="AN294">
            <v>860950.58400499995</v>
          </cell>
          <cell r="AO294">
            <v>861000</v>
          </cell>
          <cell r="AP294">
            <v>860950.58</v>
          </cell>
          <cell r="AQ294">
            <v>86095.058400499998</v>
          </cell>
          <cell r="AR294">
            <v>10000</v>
          </cell>
          <cell r="AS294">
            <v>76095.058400499998</v>
          </cell>
          <cell r="AT294">
            <v>774855.52560449997</v>
          </cell>
          <cell r="AU294">
            <v>5291.1372567538874</v>
          </cell>
          <cell r="AV294">
            <v>413.53985050560368</v>
          </cell>
          <cell r="AW294">
            <v>251.1105870014583</v>
          </cell>
          <cell r="AX294">
            <v>5955.7876942609491</v>
          </cell>
          <cell r="AY294" t="e">
            <v>#REF!</v>
          </cell>
          <cell r="BF294" t="str">
            <v>PCV</v>
          </cell>
          <cell r="BG294" t="str">
            <v>Fernando Vadelz</v>
          </cell>
          <cell r="BH294" t="str">
            <v>Antonio Rada</v>
          </cell>
          <cell r="BK294">
            <v>1</v>
          </cell>
          <cell r="BO294">
            <v>861000</v>
          </cell>
          <cell r="BP294">
            <v>-7900</v>
          </cell>
        </row>
        <row r="295">
          <cell r="B295">
            <v>1807</v>
          </cell>
          <cell r="C295" t="str">
            <v>C11</v>
          </cell>
          <cell r="D295">
            <v>56.3</v>
          </cell>
          <cell r="E295">
            <v>2</v>
          </cell>
          <cell r="F295">
            <v>1</v>
          </cell>
          <cell r="G295">
            <v>1.49</v>
          </cell>
          <cell r="I295">
            <v>1</v>
          </cell>
          <cell r="J295">
            <v>51</v>
          </cell>
          <cell r="K295">
            <v>54</v>
          </cell>
          <cell r="L295" t="str">
            <v>DIFERENTE</v>
          </cell>
          <cell r="M295" t="str">
            <v>S-3_192-193</v>
          </cell>
          <cell r="N295" t="str">
            <v>S3_192-193</v>
          </cell>
          <cell r="O295" t="str">
            <v>S3_139</v>
          </cell>
          <cell r="P295" t="str">
            <v>MISMO SÓTANO</v>
          </cell>
          <cell r="Q295">
            <v>13368.75</v>
          </cell>
          <cell r="R295">
            <v>1044383.537</v>
          </cell>
          <cell r="S295">
            <v>1141511.205941</v>
          </cell>
          <cell r="T295">
            <v>1044464.7758462946</v>
          </cell>
          <cell r="U295">
            <v>1141600</v>
          </cell>
          <cell r="W295">
            <v>1141600</v>
          </cell>
          <cell r="AA295">
            <v>1141600</v>
          </cell>
          <cell r="AC295">
            <v>1141600</v>
          </cell>
          <cell r="AF295">
            <v>1141600</v>
          </cell>
          <cell r="AH295">
            <v>-10444</v>
          </cell>
          <cell r="AI295">
            <v>1131156</v>
          </cell>
          <cell r="AN295">
            <v>1131156</v>
          </cell>
          <cell r="AO295">
            <v>1131200</v>
          </cell>
          <cell r="AP295">
            <v>1131156</v>
          </cell>
          <cell r="AQ295">
            <v>113115.6</v>
          </cell>
          <cell r="AR295">
            <v>10000</v>
          </cell>
          <cell r="AS295">
            <v>103115.6</v>
          </cell>
          <cell r="AT295">
            <v>1018040.4</v>
          </cell>
          <cell r="AU295">
            <v>6951.7365642044115</v>
          </cell>
          <cell r="AV295">
            <v>543.32744739249767</v>
          </cell>
          <cell r="AW295">
            <v>329.9205</v>
          </cell>
          <cell r="AX295">
            <v>7824.9845115969092</v>
          </cell>
          <cell r="AY295" t="e">
            <v>#REF!</v>
          </cell>
          <cell r="BF295" t="str">
            <v>PCV</v>
          </cell>
          <cell r="BG295" t="str">
            <v>July de Arimany</v>
          </cell>
          <cell r="BH295" t="str">
            <v>Alexander Franco</v>
          </cell>
          <cell r="BJ295">
            <v>1</v>
          </cell>
          <cell r="BN295">
            <v>1</v>
          </cell>
          <cell r="BO295">
            <v>1131200</v>
          </cell>
          <cell r="BP295">
            <v>-10400</v>
          </cell>
        </row>
        <row r="296">
          <cell r="B296">
            <v>1808</v>
          </cell>
          <cell r="C296" t="str">
            <v>E3</v>
          </cell>
          <cell r="D296">
            <v>73.650000000000006</v>
          </cell>
          <cell r="E296">
            <v>3</v>
          </cell>
          <cell r="F296">
            <v>1</v>
          </cell>
          <cell r="G296">
            <v>1.26</v>
          </cell>
          <cell r="I296">
            <v>1</v>
          </cell>
          <cell r="J296">
            <v>52</v>
          </cell>
          <cell r="K296">
            <v>55</v>
          </cell>
          <cell r="L296" t="str">
            <v>DIFERENTE</v>
          </cell>
          <cell r="M296" t="str">
            <v>S-3_194-195</v>
          </cell>
          <cell r="N296" t="str">
            <v>S3_194-195</v>
          </cell>
          <cell r="O296" t="str">
            <v>S3_140</v>
          </cell>
          <cell r="P296" t="str">
            <v>MISMO SÓTANO</v>
          </cell>
          <cell r="Q296">
            <v>13368.75</v>
          </cell>
          <cell r="R296">
            <v>1274852.7255000002</v>
          </cell>
          <cell r="S296">
            <v>1393414.0289715002</v>
          </cell>
          <cell r="T296">
            <v>1274931.3815187558</v>
          </cell>
          <cell r="U296">
            <v>1393500</v>
          </cell>
          <cell r="V296">
            <v>37400</v>
          </cell>
          <cell r="W296">
            <v>1430900</v>
          </cell>
          <cell r="AA296">
            <v>1430900</v>
          </cell>
          <cell r="AC296">
            <v>1430900</v>
          </cell>
          <cell r="AF296">
            <v>1430900</v>
          </cell>
          <cell r="AH296">
            <v>-13091.489999999991</v>
          </cell>
          <cell r="AI296">
            <v>1417808.51</v>
          </cell>
          <cell r="AN296">
            <v>1417808.51</v>
          </cell>
          <cell r="AO296">
            <v>1417900</v>
          </cell>
          <cell r="AP296">
            <v>1430900</v>
          </cell>
          <cell r="AQ296">
            <v>141780.851</v>
          </cell>
          <cell r="AR296">
            <v>10000</v>
          </cell>
          <cell r="AS296">
            <v>131780.851</v>
          </cell>
          <cell r="AT296">
            <v>1276027.659</v>
          </cell>
          <cell r="AU296">
            <v>8713.4146483837558</v>
          </cell>
          <cell r="AV296">
            <v>681.01506655992671</v>
          </cell>
          <cell r="AW296">
            <v>413.52748208333333</v>
          </cell>
          <cell r="AX296">
            <v>9807.9571970270154</v>
          </cell>
          <cell r="AY296" t="e">
            <v>#REF!</v>
          </cell>
          <cell r="BF296" t="str">
            <v>PCV</v>
          </cell>
          <cell r="BG296" t="str">
            <v>Monica Rodriguez</v>
          </cell>
          <cell r="BH296" t="str">
            <v>Antonio Rada</v>
          </cell>
          <cell r="BL296">
            <v>1</v>
          </cell>
          <cell r="BN296">
            <v>1</v>
          </cell>
          <cell r="BO296">
            <v>1430900</v>
          </cell>
          <cell r="BP296">
            <v>0</v>
          </cell>
        </row>
        <row r="297">
          <cell r="B297">
            <v>1901</v>
          </cell>
          <cell r="C297" t="str">
            <v>A11</v>
          </cell>
          <cell r="D297">
            <v>41.2</v>
          </cell>
          <cell r="E297">
            <v>1</v>
          </cell>
          <cell r="G297">
            <v>1.71</v>
          </cell>
          <cell r="H297">
            <v>1</v>
          </cell>
          <cell r="L297" t="str">
            <v>IGUAL</v>
          </cell>
          <cell r="M297" t="str">
            <v>S-2_129</v>
          </cell>
          <cell r="N297" t="str">
            <v>S2_129</v>
          </cell>
          <cell r="O297" t="str">
            <v>S2_87</v>
          </cell>
          <cell r="P297" t="str">
            <v>MISMO SÓTANO</v>
          </cell>
          <cell r="Q297">
            <v>13368.75</v>
          </cell>
          <cell r="R297">
            <v>681785.74800000002</v>
          </cell>
          <cell r="S297">
            <v>745191.82256400003</v>
          </cell>
          <cell r="T297">
            <v>681793.22964318388</v>
          </cell>
          <cell r="U297">
            <v>745200</v>
          </cell>
          <cell r="W297">
            <v>745200</v>
          </cell>
          <cell r="AA297">
            <v>745200</v>
          </cell>
          <cell r="AC297">
            <v>745200</v>
          </cell>
          <cell r="AF297">
            <v>745200</v>
          </cell>
          <cell r="AI297">
            <v>745200</v>
          </cell>
          <cell r="AN297">
            <v>745200</v>
          </cell>
          <cell r="AO297">
            <v>745200</v>
          </cell>
          <cell r="AP297">
            <v>745200</v>
          </cell>
          <cell r="AQ297">
            <v>74520</v>
          </cell>
          <cell r="AR297">
            <v>10000</v>
          </cell>
          <cell r="AS297">
            <v>64520</v>
          </cell>
          <cell r="AT297">
            <v>670680</v>
          </cell>
          <cell r="AU297">
            <v>4579.7697997845808</v>
          </cell>
          <cell r="AV297">
            <v>357.9414455626715</v>
          </cell>
          <cell r="AW297">
            <v>217.35000000000002</v>
          </cell>
          <cell r="AX297">
            <v>5155.0612453472522</v>
          </cell>
          <cell r="AY297" t="e">
            <v>#REF!</v>
          </cell>
          <cell r="BF297" t="str">
            <v>PCV</v>
          </cell>
          <cell r="BG297" t="str">
            <v>International Coffee</v>
          </cell>
          <cell r="BH297" t="str">
            <v>Junta Directiva</v>
          </cell>
          <cell r="BN297">
            <v>1</v>
          </cell>
          <cell r="BO297">
            <v>738400</v>
          </cell>
          <cell r="BP297">
            <v>-6800</v>
          </cell>
        </row>
        <row r="298">
          <cell r="B298">
            <v>1902</v>
          </cell>
          <cell r="C298" t="str">
            <v>D5</v>
          </cell>
          <cell r="D298">
            <v>66.45</v>
          </cell>
          <cell r="E298">
            <v>3</v>
          </cell>
          <cell r="F298">
            <v>1</v>
          </cell>
          <cell r="G298">
            <v>1.47</v>
          </cell>
          <cell r="I298">
            <v>1</v>
          </cell>
          <cell r="J298">
            <v>30</v>
          </cell>
          <cell r="K298">
            <v>35</v>
          </cell>
          <cell r="L298" t="str">
            <v>DIFERENTE</v>
          </cell>
          <cell r="M298" t="str">
            <v>S-2_105-106</v>
          </cell>
          <cell r="N298" t="str">
            <v>S2_105-106</v>
          </cell>
          <cell r="O298" t="str">
            <v>S2_73</v>
          </cell>
          <cell r="P298" t="str">
            <v>MISMO SÓTANO</v>
          </cell>
          <cell r="Q298">
            <v>13368.75</v>
          </cell>
          <cell r="R298">
            <v>1179947.7735000001</v>
          </cell>
          <cell r="S298">
            <v>1289682.9164355001</v>
          </cell>
          <cell r="T298">
            <v>1179963.4034766697</v>
          </cell>
          <cell r="U298">
            <v>1289700</v>
          </cell>
          <cell r="W298">
            <v>1289700</v>
          </cell>
          <cell r="AA298">
            <v>1289700</v>
          </cell>
          <cell r="AC298">
            <v>1289700</v>
          </cell>
          <cell r="AF298">
            <v>1289700</v>
          </cell>
          <cell r="AH298">
            <v>0</v>
          </cell>
          <cell r="AI298">
            <v>1289700</v>
          </cell>
          <cell r="AN298">
            <v>1289700</v>
          </cell>
          <cell r="AO298">
            <v>1289700</v>
          </cell>
          <cell r="AP298">
            <v>1289700</v>
          </cell>
          <cell r="AQ298">
            <v>128970</v>
          </cell>
          <cell r="AR298">
            <v>10000</v>
          </cell>
          <cell r="AS298">
            <v>118970</v>
          </cell>
          <cell r="AT298">
            <v>1160730</v>
          </cell>
          <cell r="AU298">
            <v>7926.0991824774201</v>
          </cell>
          <cell r="AV298">
            <v>619.48078682525147</v>
          </cell>
          <cell r="AW298">
            <v>376.16249999999997</v>
          </cell>
          <cell r="AX298">
            <v>8921.7424693026715</v>
          </cell>
          <cell r="AY298" t="e">
            <v>#REF!</v>
          </cell>
          <cell r="BF298" t="str">
            <v>PCV</v>
          </cell>
          <cell r="BG298" t="str">
            <v>International Coffee</v>
          </cell>
          <cell r="BH298" t="str">
            <v>Junta Directiva</v>
          </cell>
          <cell r="BO298">
            <v>1322000</v>
          </cell>
          <cell r="BP298">
            <v>32300</v>
          </cell>
        </row>
        <row r="299">
          <cell r="B299">
            <v>1903</v>
          </cell>
          <cell r="C299" t="str">
            <v>D6</v>
          </cell>
          <cell r="D299">
            <v>66.73</v>
          </cell>
          <cell r="E299">
            <v>3</v>
          </cell>
          <cell r="F299">
            <v>1</v>
          </cell>
          <cell r="G299">
            <v>1.51</v>
          </cell>
          <cell r="I299">
            <v>1</v>
          </cell>
          <cell r="J299">
            <v>31</v>
          </cell>
          <cell r="K299">
            <v>36</v>
          </cell>
          <cell r="L299" t="str">
            <v>DIFERENTE</v>
          </cell>
          <cell r="M299" t="str">
            <v>S-2_107-108</v>
          </cell>
          <cell r="N299" t="str">
            <v>S2_107-108</v>
          </cell>
          <cell r="O299" t="str">
            <v>S2_74</v>
          </cell>
          <cell r="P299" t="str">
            <v>MISMO SÓTANO</v>
          </cell>
          <cell r="Q299">
            <v>13368.75</v>
          </cell>
          <cell r="R299">
            <v>1183948.1754999999</v>
          </cell>
          <cell r="S299">
            <v>1294055.3558214998</v>
          </cell>
          <cell r="T299">
            <v>1183989.021043001</v>
          </cell>
          <cell r="U299">
            <v>1294100</v>
          </cell>
          <cell r="W299">
            <v>1294100</v>
          </cell>
          <cell r="AA299">
            <v>1294100</v>
          </cell>
          <cell r="AC299">
            <v>1294100</v>
          </cell>
          <cell r="AF299">
            <v>1294100</v>
          </cell>
          <cell r="AH299">
            <v>0</v>
          </cell>
          <cell r="AI299">
            <v>1294100</v>
          </cell>
          <cell r="AN299">
            <v>1294100</v>
          </cell>
          <cell r="AO299">
            <v>1294100</v>
          </cell>
          <cell r="AP299">
            <v>1294100</v>
          </cell>
          <cell r="AQ299">
            <v>129410</v>
          </cell>
          <cell r="AR299">
            <v>10000</v>
          </cell>
          <cell r="AS299">
            <v>119410</v>
          </cell>
          <cell r="AT299">
            <v>1164690</v>
          </cell>
          <cell r="AU299">
            <v>7953.1402279941303</v>
          </cell>
          <cell r="AV299">
            <v>621.59423604757546</v>
          </cell>
          <cell r="AW299">
            <v>377.44583333333338</v>
          </cell>
          <cell r="AX299">
            <v>8952.1802973750382</v>
          </cell>
          <cell r="AY299" t="e">
            <v>#REF!</v>
          </cell>
          <cell r="BF299" t="str">
            <v>PCV</v>
          </cell>
          <cell r="BG299" t="str">
            <v>International Coffee</v>
          </cell>
          <cell r="BH299" t="str">
            <v>Junta Directiva</v>
          </cell>
          <cell r="BO299">
            <v>1326500</v>
          </cell>
          <cell r="BP299">
            <v>32400</v>
          </cell>
        </row>
        <row r="300">
          <cell r="B300">
            <v>1904</v>
          </cell>
          <cell r="C300" t="str">
            <v>D5</v>
          </cell>
          <cell r="D300">
            <v>66.45</v>
          </cell>
          <cell r="E300">
            <v>3</v>
          </cell>
          <cell r="F300">
            <v>1</v>
          </cell>
          <cell r="G300">
            <v>1.47</v>
          </cell>
          <cell r="I300">
            <v>1</v>
          </cell>
          <cell r="J300">
            <v>32</v>
          </cell>
          <cell r="K300">
            <v>37</v>
          </cell>
          <cell r="L300" t="str">
            <v>DIFERENTE</v>
          </cell>
          <cell r="M300" t="str">
            <v>S-2_109-110</v>
          </cell>
          <cell r="N300" t="str">
            <v>S2_109-110</v>
          </cell>
          <cell r="O300" t="str">
            <v>S2_75</v>
          </cell>
          <cell r="P300" t="str">
            <v>MISMO SÓTANO</v>
          </cell>
          <cell r="Q300">
            <v>13368.75</v>
          </cell>
          <cell r="R300">
            <v>1179947.7735000001</v>
          </cell>
          <cell r="S300">
            <v>1289682.9164355001</v>
          </cell>
          <cell r="T300">
            <v>1179963.4034766697</v>
          </cell>
          <cell r="U300">
            <v>1289700</v>
          </cell>
          <cell r="W300">
            <v>1289700</v>
          </cell>
          <cell r="AA300">
            <v>1289700</v>
          </cell>
          <cell r="AC300">
            <v>1289700</v>
          </cell>
          <cell r="AF300">
            <v>1289700</v>
          </cell>
          <cell r="AH300">
            <v>0</v>
          </cell>
          <cell r="AI300">
            <v>1289700</v>
          </cell>
          <cell r="AN300">
            <v>1289700</v>
          </cell>
          <cell r="AO300">
            <v>1289700</v>
          </cell>
          <cell r="AP300">
            <v>1289700</v>
          </cell>
          <cell r="AQ300">
            <v>128970</v>
          </cell>
          <cell r="AR300">
            <v>10000</v>
          </cell>
          <cell r="AS300">
            <v>118970</v>
          </cell>
          <cell r="AT300">
            <v>1160730</v>
          </cell>
          <cell r="AU300">
            <v>7926.0991824774201</v>
          </cell>
          <cell r="AV300">
            <v>619.48078682525147</v>
          </cell>
          <cell r="AW300">
            <v>376.16249999999997</v>
          </cell>
          <cell r="AX300">
            <v>8921.7424693026715</v>
          </cell>
          <cell r="AY300" t="e">
            <v>#REF!</v>
          </cell>
          <cell r="BF300" t="str">
            <v>PCV</v>
          </cell>
          <cell r="BG300" t="str">
            <v>International Coffee</v>
          </cell>
          <cell r="BH300" t="str">
            <v>Junta Directiva</v>
          </cell>
          <cell r="BO300">
            <v>1322000</v>
          </cell>
          <cell r="BP300">
            <v>32300</v>
          </cell>
        </row>
        <row r="301">
          <cell r="B301">
            <v>1905</v>
          </cell>
          <cell r="C301" t="str">
            <v>D8</v>
          </cell>
          <cell r="D301">
            <v>69.31</v>
          </cell>
          <cell r="E301">
            <v>3</v>
          </cell>
          <cell r="F301">
            <v>1</v>
          </cell>
          <cell r="G301">
            <v>1.5</v>
          </cell>
          <cell r="I301">
            <v>1</v>
          </cell>
          <cell r="J301">
            <v>14</v>
          </cell>
          <cell r="K301">
            <v>18</v>
          </cell>
          <cell r="L301" t="str">
            <v>DIFERENTE</v>
          </cell>
          <cell r="M301" t="str">
            <v>S-1_40-41</v>
          </cell>
          <cell r="N301" t="str">
            <v>S1_40-41</v>
          </cell>
          <cell r="O301" t="str">
            <v>S1_19</v>
          </cell>
          <cell r="P301" t="str">
            <v>MISMO SÓTANO</v>
          </cell>
          <cell r="Q301">
            <v>13368.75</v>
          </cell>
          <cell r="R301">
            <v>1218375.2625</v>
          </cell>
          <cell r="S301">
            <v>1331684.1619124999</v>
          </cell>
          <cell r="T301">
            <v>1218389.7529734676</v>
          </cell>
          <cell r="U301">
            <v>1331700</v>
          </cell>
          <cell r="W301">
            <v>1331700</v>
          </cell>
          <cell r="AA301">
            <v>1331700</v>
          </cell>
          <cell r="AC301">
            <v>1331700</v>
          </cell>
          <cell r="AF301">
            <v>1331700</v>
          </cell>
          <cell r="AH301">
            <v>0</v>
          </cell>
          <cell r="AI301">
            <v>1331700</v>
          </cell>
          <cell r="AN301">
            <v>1331700</v>
          </cell>
          <cell r="AO301">
            <v>1331700</v>
          </cell>
          <cell r="AP301">
            <v>1331700</v>
          </cell>
          <cell r="AQ301">
            <v>133170</v>
          </cell>
          <cell r="AR301">
            <v>10000</v>
          </cell>
          <cell r="AS301">
            <v>123170</v>
          </cell>
          <cell r="AT301">
            <v>1198530</v>
          </cell>
          <cell r="AU301">
            <v>8184.2182533187415</v>
          </cell>
          <cell r="AV301">
            <v>639.65462031107029</v>
          </cell>
          <cell r="AW301">
            <v>388.41249999999997</v>
          </cell>
          <cell r="AX301">
            <v>9212.285373629813</v>
          </cell>
          <cell r="AY301" t="e">
            <v>#REF!</v>
          </cell>
          <cell r="BF301" t="str">
            <v>PCV</v>
          </cell>
          <cell r="BG301" t="str">
            <v>International Coffee</v>
          </cell>
          <cell r="BH301" t="str">
            <v>Junta Directiva</v>
          </cell>
          <cell r="BO301">
            <v>1365000</v>
          </cell>
          <cell r="BP301">
            <v>33300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sión de derechos"/>
      <sheetName val="Sheet1"/>
    </sheetNames>
    <sheetDataSet>
      <sheetData sheetId="0" refreshError="1"/>
      <sheetData sheetId="1">
        <row r="2">
          <cell r="C2">
            <v>101</v>
          </cell>
          <cell r="D2">
            <v>64500</v>
          </cell>
        </row>
        <row r="3">
          <cell r="C3">
            <v>102</v>
          </cell>
          <cell r="D3">
            <v>83606</v>
          </cell>
        </row>
        <row r="4">
          <cell r="C4">
            <v>103</v>
          </cell>
          <cell r="D4">
            <v>153320</v>
          </cell>
        </row>
        <row r="5">
          <cell r="C5">
            <v>104</v>
          </cell>
          <cell r="D5">
            <v>145600</v>
          </cell>
        </row>
        <row r="6">
          <cell r="C6">
            <v>105</v>
          </cell>
          <cell r="D6">
            <v>0</v>
          </cell>
        </row>
        <row r="7">
          <cell r="C7">
            <v>106</v>
          </cell>
          <cell r="D7">
            <v>38200</v>
          </cell>
        </row>
        <row r="8">
          <cell r="C8">
            <v>107</v>
          </cell>
          <cell r="D8">
            <v>0</v>
          </cell>
        </row>
        <row r="9">
          <cell r="C9">
            <v>108</v>
          </cell>
          <cell r="D9">
            <v>0</v>
          </cell>
        </row>
        <row r="10">
          <cell r="C10">
            <v>109</v>
          </cell>
          <cell r="D10">
            <v>148676</v>
          </cell>
        </row>
        <row r="11">
          <cell r="C11">
            <v>110</v>
          </cell>
          <cell r="D11">
            <v>68100</v>
          </cell>
        </row>
        <row r="12">
          <cell r="C12">
            <v>111</v>
          </cell>
          <cell r="D12">
            <v>69700</v>
          </cell>
        </row>
        <row r="13">
          <cell r="C13">
            <v>112</v>
          </cell>
          <cell r="D13">
            <v>69900</v>
          </cell>
        </row>
        <row r="14">
          <cell r="C14">
            <v>113</v>
          </cell>
          <cell r="D14">
            <v>480006.24</v>
          </cell>
        </row>
        <row r="15">
          <cell r="C15">
            <v>114</v>
          </cell>
          <cell r="D15">
            <v>99425.75</v>
          </cell>
        </row>
        <row r="16">
          <cell r="C16">
            <v>201</v>
          </cell>
          <cell r="D16">
            <v>0</v>
          </cell>
        </row>
        <row r="17">
          <cell r="C17">
            <v>202</v>
          </cell>
          <cell r="D17">
            <v>106041</v>
          </cell>
        </row>
        <row r="18">
          <cell r="C18">
            <v>203</v>
          </cell>
          <cell r="D18">
            <v>0</v>
          </cell>
        </row>
        <row r="19">
          <cell r="C19">
            <v>204</v>
          </cell>
          <cell r="D19">
            <v>87136</v>
          </cell>
        </row>
        <row r="20">
          <cell r="C20">
            <v>205</v>
          </cell>
          <cell r="D20">
            <v>112739</v>
          </cell>
        </row>
        <row r="21">
          <cell r="C21">
            <v>206</v>
          </cell>
          <cell r="D21">
            <v>0</v>
          </cell>
        </row>
        <row r="22">
          <cell r="C22">
            <v>207</v>
          </cell>
          <cell r="D22">
            <v>0</v>
          </cell>
        </row>
        <row r="23">
          <cell r="C23">
            <v>208</v>
          </cell>
          <cell r="D23">
            <v>0</v>
          </cell>
        </row>
        <row r="24">
          <cell r="C24">
            <v>209</v>
          </cell>
          <cell r="D24">
            <v>200104</v>
          </cell>
        </row>
        <row r="25">
          <cell r="C25">
            <v>210</v>
          </cell>
          <cell r="D25">
            <v>76121.62000000001</v>
          </cell>
        </row>
        <row r="26">
          <cell r="C26">
            <v>211</v>
          </cell>
          <cell r="D26">
            <v>0</v>
          </cell>
        </row>
        <row r="27">
          <cell r="C27">
            <v>212</v>
          </cell>
          <cell r="D27">
            <v>71537.5</v>
          </cell>
        </row>
        <row r="28">
          <cell r="C28">
            <v>213</v>
          </cell>
          <cell r="D28">
            <v>63040</v>
          </cell>
        </row>
        <row r="29">
          <cell r="C29">
            <v>214</v>
          </cell>
          <cell r="D29">
            <v>72072.5</v>
          </cell>
        </row>
        <row r="30">
          <cell r="C30">
            <v>215</v>
          </cell>
          <cell r="D30">
            <v>96600</v>
          </cell>
        </row>
        <row r="31">
          <cell r="C31">
            <v>216</v>
          </cell>
          <cell r="D31">
            <v>98100</v>
          </cell>
        </row>
        <row r="32">
          <cell r="C32">
            <v>301</v>
          </cell>
          <cell r="D32">
            <v>127300</v>
          </cell>
        </row>
        <row r="33">
          <cell r="C33">
            <v>302</v>
          </cell>
          <cell r="D33">
            <v>65200</v>
          </cell>
        </row>
        <row r="34">
          <cell r="C34">
            <v>303</v>
          </cell>
          <cell r="D34">
            <v>0</v>
          </cell>
        </row>
        <row r="35">
          <cell r="C35">
            <v>304</v>
          </cell>
          <cell r="D35">
            <v>67684</v>
          </cell>
        </row>
        <row r="36">
          <cell r="C36">
            <v>305</v>
          </cell>
          <cell r="D36">
            <v>78000</v>
          </cell>
        </row>
        <row r="37">
          <cell r="C37">
            <v>306</v>
          </cell>
          <cell r="D37">
            <v>20000</v>
          </cell>
        </row>
        <row r="38">
          <cell r="C38">
            <v>307</v>
          </cell>
          <cell r="D38">
            <v>27000</v>
          </cell>
        </row>
        <row r="39">
          <cell r="C39">
            <v>308</v>
          </cell>
          <cell r="D39">
            <v>83326</v>
          </cell>
        </row>
        <row r="40">
          <cell r="C40">
            <v>309</v>
          </cell>
          <cell r="D40">
            <v>135090</v>
          </cell>
        </row>
        <row r="41">
          <cell r="C41">
            <v>310</v>
          </cell>
          <cell r="D41">
            <v>0</v>
          </cell>
        </row>
        <row r="42">
          <cell r="C42">
            <v>311</v>
          </cell>
          <cell r="D42">
            <v>139140</v>
          </cell>
        </row>
        <row r="43">
          <cell r="C43">
            <v>312</v>
          </cell>
          <cell r="D43">
            <v>110063</v>
          </cell>
        </row>
        <row r="44">
          <cell r="C44">
            <v>313</v>
          </cell>
          <cell r="D44">
            <v>108800</v>
          </cell>
        </row>
        <row r="45">
          <cell r="C45">
            <v>314</v>
          </cell>
          <cell r="D45">
            <v>50648.98000000001</v>
          </cell>
        </row>
        <row r="46">
          <cell r="C46">
            <v>315</v>
          </cell>
          <cell r="D46">
            <v>121100</v>
          </cell>
        </row>
        <row r="47">
          <cell r="C47">
            <v>316</v>
          </cell>
          <cell r="D47">
            <v>70896.44</v>
          </cell>
        </row>
        <row r="48">
          <cell r="C48">
            <v>317</v>
          </cell>
          <cell r="D48">
            <v>72187.5</v>
          </cell>
        </row>
        <row r="49">
          <cell r="C49">
            <v>318</v>
          </cell>
          <cell r="D49">
            <v>72072.5</v>
          </cell>
        </row>
        <row r="50">
          <cell r="C50">
            <v>319</v>
          </cell>
          <cell r="D50">
            <v>96600</v>
          </cell>
        </row>
        <row r="51">
          <cell r="C51">
            <v>320</v>
          </cell>
          <cell r="D51">
            <v>98100</v>
          </cell>
        </row>
        <row r="52">
          <cell r="C52">
            <v>401</v>
          </cell>
          <cell r="D52">
            <v>115400</v>
          </cell>
        </row>
        <row r="53">
          <cell r="C53">
            <v>402</v>
          </cell>
          <cell r="D53">
            <v>115171.45</v>
          </cell>
        </row>
        <row r="54">
          <cell r="C54">
            <v>403</v>
          </cell>
          <cell r="D54">
            <v>0</v>
          </cell>
        </row>
        <row r="55">
          <cell r="C55">
            <v>404</v>
          </cell>
          <cell r="D55">
            <v>72200</v>
          </cell>
        </row>
        <row r="56">
          <cell r="C56">
            <v>405</v>
          </cell>
          <cell r="D56">
            <v>32800</v>
          </cell>
        </row>
        <row r="57">
          <cell r="C57">
            <v>406</v>
          </cell>
          <cell r="D57">
            <v>85339</v>
          </cell>
        </row>
        <row r="58">
          <cell r="C58">
            <v>407</v>
          </cell>
          <cell r="D58">
            <v>52248.820000000007</v>
          </cell>
        </row>
        <row r="59">
          <cell r="C59">
            <v>408</v>
          </cell>
          <cell r="D59">
            <v>71600</v>
          </cell>
        </row>
        <row r="60">
          <cell r="C60">
            <v>409</v>
          </cell>
          <cell r="D60">
            <v>134190</v>
          </cell>
        </row>
        <row r="61">
          <cell r="C61">
            <v>410</v>
          </cell>
          <cell r="D61">
            <v>81528.28</v>
          </cell>
        </row>
        <row r="62">
          <cell r="C62">
            <v>411</v>
          </cell>
          <cell r="D62">
            <v>30000</v>
          </cell>
        </row>
        <row r="63">
          <cell r="C63">
            <v>412</v>
          </cell>
          <cell r="D63">
            <v>78148</v>
          </cell>
        </row>
        <row r="64">
          <cell r="C64">
            <v>413</v>
          </cell>
          <cell r="D64">
            <v>88286</v>
          </cell>
        </row>
        <row r="65">
          <cell r="C65">
            <v>414</v>
          </cell>
          <cell r="D65">
            <v>88800</v>
          </cell>
        </row>
        <row r="66">
          <cell r="C66">
            <v>415</v>
          </cell>
          <cell r="D66">
            <v>159352</v>
          </cell>
        </row>
        <row r="67">
          <cell r="C67">
            <v>416</v>
          </cell>
          <cell r="D67">
            <v>62452</v>
          </cell>
        </row>
        <row r="68">
          <cell r="C68">
            <v>417</v>
          </cell>
          <cell r="D68">
            <v>72187.5</v>
          </cell>
        </row>
        <row r="69">
          <cell r="C69">
            <v>418</v>
          </cell>
          <cell r="D69">
            <v>58807</v>
          </cell>
        </row>
        <row r="70">
          <cell r="C70">
            <v>419</v>
          </cell>
          <cell r="D70">
            <v>96600</v>
          </cell>
        </row>
        <row r="71">
          <cell r="C71">
            <v>420</v>
          </cell>
          <cell r="D71">
            <v>116700</v>
          </cell>
        </row>
        <row r="72">
          <cell r="C72">
            <v>501</v>
          </cell>
          <cell r="D72">
            <v>124036</v>
          </cell>
        </row>
        <row r="73">
          <cell r="C73">
            <v>502</v>
          </cell>
          <cell r="D73">
            <v>164040</v>
          </cell>
        </row>
        <row r="74">
          <cell r="C74">
            <v>503</v>
          </cell>
          <cell r="D74">
            <v>81046</v>
          </cell>
        </row>
        <row r="75">
          <cell r="C75">
            <v>504</v>
          </cell>
          <cell r="D75">
            <v>81046</v>
          </cell>
        </row>
        <row r="76">
          <cell r="C76">
            <v>505</v>
          </cell>
          <cell r="D76">
            <v>139967</v>
          </cell>
        </row>
        <row r="77">
          <cell r="C77">
            <v>506</v>
          </cell>
          <cell r="D77">
            <v>138595</v>
          </cell>
        </row>
        <row r="78">
          <cell r="C78">
            <v>507</v>
          </cell>
          <cell r="D78">
            <v>72300</v>
          </cell>
        </row>
        <row r="79">
          <cell r="C79">
            <v>508</v>
          </cell>
          <cell r="D79">
            <v>118393</v>
          </cell>
        </row>
        <row r="80">
          <cell r="C80">
            <v>509</v>
          </cell>
          <cell r="D80">
            <v>118161.5</v>
          </cell>
        </row>
        <row r="81">
          <cell r="C81">
            <v>510</v>
          </cell>
          <cell r="D81">
            <v>118393</v>
          </cell>
        </row>
        <row r="82">
          <cell r="C82">
            <v>511</v>
          </cell>
          <cell r="D82">
            <v>118161.5</v>
          </cell>
        </row>
        <row r="83">
          <cell r="C83">
            <v>512</v>
          </cell>
          <cell r="D83">
            <v>70400</v>
          </cell>
        </row>
        <row r="84">
          <cell r="C84">
            <v>513</v>
          </cell>
          <cell r="D84">
            <v>68800</v>
          </cell>
        </row>
        <row r="85">
          <cell r="C85">
            <v>514</v>
          </cell>
          <cell r="D85">
            <v>122816</v>
          </cell>
        </row>
        <row r="86">
          <cell r="C86">
            <v>515</v>
          </cell>
          <cell r="D86">
            <v>61249.5</v>
          </cell>
        </row>
        <row r="87">
          <cell r="C87">
            <v>516</v>
          </cell>
          <cell r="D87">
            <v>103710</v>
          </cell>
        </row>
        <row r="88">
          <cell r="C88">
            <v>517</v>
          </cell>
          <cell r="D88">
            <v>87162.12</v>
          </cell>
        </row>
        <row r="89">
          <cell r="C89">
            <v>518</v>
          </cell>
          <cell r="D89">
            <v>128352</v>
          </cell>
        </row>
        <row r="90">
          <cell r="C90">
            <v>519</v>
          </cell>
          <cell r="D90">
            <v>71260</v>
          </cell>
        </row>
        <row r="91">
          <cell r="C91">
            <v>601</v>
          </cell>
          <cell r="D91">
            <v>147912.79999999999</v>
          </cell>
        </row>
        <row r="92">
          <cell r="C92">
            <v>602</v>
          </cell>
          <cell r="D92">
            <v>112800</v>
          </cell>
        </row>
        <row r="93">
          <cell r="C93">
            <v>603</v>
          </cell>
          <cell r="D93">
            <v>90200</v>
          </cell>
        </row>
        <row r="94">
          <cell r="C94">
            <v>604</v>
          </cell>
          <cell r="D94">
            <v>88800</v>
          </cell>
        </row>
        <row r="95">
          <cell r="C95">
            <v>605</v>
          </cell>
          <cell r="D95">
            <v>137405</v>
          </cell>
        </row>
        <row r="96">
          <cell r="C96">
            <v>606</v>
          </cell>
          <cell r="D96">
            <v>137995</v>
          </cell>
        </row>
        <row r="97">
          <cell r="C97">
            <v>607</v>
          </cell>
          <cell r="D97">
            <v>61670</v>
          </cell>
        </row>
        <row r="98">
          <cell r="C98">
            <v>608</v>
          </cell>
          <cell r="D98">
            <v>118393</v>
          </cell>
        </row>
        <row r="99">
          <cell r="C99">
            <v>609</v>
          </cell>
          <cell r="D99">
            <v>118161.5</v>
          </cell>
        </row>
        <row r="100">
          <cell r="C100">
            <v>610</v>
          </cell>
          <cell r="D100">
            <v>118393</v>
          </cell>
        </row>
        <row r="101">
          <cell r="C101">
            <v>611</v>
          </cell>
          <cell r="D101">
            <v>214880</v>
          </cell>
        </row>
        <row r="102">
          <cell r="C102">
            <v>612</v>
          </cell>
          <cell r="D102">
            <v>41500</v>
          </cell>
        </row>
        <row r="103">
          <cell r="C103">
            <v>613</v>
          </cell>
          <cell r="D103">
            <v>68800</v>
          </cell>
        </row>
        <row r="104">
          <cell r="C104">
            <v>614</v>
          </cell>
          <cell r="D104">
            <v>111037.29</v>
          </cell>
        </row>
        <row r="105">
          <cell r="C105">
            <v>615</v>
          </cell>
          <cell r="D105">
            <v>61250.01</v>
          </cell>
        </row>
        <row r="106">
          <cell r="C106">
            <v>616</v>
          </cell>
          <cell r="D106">
            <v>90200</v>
          </cell>
        </row>
        <row r="107">
          <cell r="C107">
            <v>617</v>
          </cell>
          <cell r="D107">
            <v>88800</v>
          </cell>
        </row>
        <row r="108">
          <cell r="C108">
            <v>618</v>
          </cell>
          <cell r="D108">
            <v>108368</v>
          </cell>
        </row>
        <row r="109">
          <cell r="C109">
            <v>619</v>
          </cell>
          <cell r="D109">
            <v>122354</v>
          </cell>
        </row>
        <row r="110">
          <cell r="C110">
            <v>701</v>
          </cell>
          <cell r="D110">
            <v>132100</v>
          </cell>
        </row>
        <row r="111">
          <cell r="C111">
            <v>702</v>
          </cell>
          <cell r="D111">
            <v>134400</v>
          </cell>
        </row>
        <row r="112">
          <cell r="C112">
            <v>703</v>
          </cell>
          <cell r="D112">
            <v>90200</v>
          </cell>
        </row>
        <row r="113">
          <cell r="C113">
            <v>704</v>
          </cell>
          <cell r="D113">
            <v>88800</v>
          </cell>
        </row>
        <row r="114">
          <cell r="C114">
            <v>705</v>
          </cell>
          <cell r="D114">
            <v>113764</v>
          </cell>
        </row>
        <row r="115">
          <cell r="C115">
            <v>706</v>
          </cell>
          <cell r="D115">
            <v>112377</v>
          </cell>
        </row>
        <row r="116">
          <cell r="C116">
            <v>707</v>
          </cell>
          <cell r="D116">
            <v>63030</v>
          </cell>
        </row>
        <row r="117">
          <cell r="C117">
            <v>708</v>
          </cell>
          <cell r="D117">
            <v>118393</v>
          </cell>
        </row>
        <row r="118">
          <cell r="C118">
            <v>709</v>
          </cell>
          <cell r="D118">
            <v>0</v>
          </cell>
        </row>
        <row r="119">
          <cell r="C119">
            <v>710</v>
          </cell>
          <cell r="D119">
            <v>0</v>
          </cell>
        </row>
        <row r="120">
          <cell r="C120">
            <v>711</v>
          </cell>
          <cell r="D120">
            <v>101602</v>
          </cell>
        </row>
        <row r="121">
          <cell r="C121">
            <v>712</v>
          </cell>
          <cell r="D121">
            <v>70400</v>
          </cell>
        </row>
        <row r="122">
          <cell r="C122">
            <v>713</v>
          </cell>
          <cell r="D122">
            <v>68800</v>
          </cell>
        </row>
        <row r="123">
          <cell r="C123">
            <v>714</v>
          </cell>
          <cell r="D123">
            <v>143808</v>
          </cell>
        </row>
        <row r="124">
          <cell r="C124">
            <v>715</v>
          </cell>
          <cell r="D124">
            <v>62000</v>
          </cell>
        </row>
        <row r="125">
          <cell r="C125">
            <v>716</v>
          </cell>
          <cell r="D125">
            <v>90200</v>
          </cell>
        </row>
        <row r="126">
          <cell r="C126">
            <v>717</v>
          </cell>
          <cell r="D126">
            <v>88800</v>
          </cell>
        </row>
        <row r="127">
          <cell r="C127">
            <v>718</v>
          </cell>
          <cell r="D127">
            <v>0</v>
          </cell>
        </row>
        <row r="128">
          <cell r="C128">
            <v>719</v>
          </cell>
          <cell r="D128">
            <v>0</v>
          </cell>
        </row>
        <row r="129">
          <cell r="C129">
            <v>801</v>
          </cell>
          <cell r="D129">
            <v>115200</v>
          </cell>
        </row>
        <row r="130">
          <cell r="C130">
            <v>802</v>
          </cell>
          <cell r="D130">
            <v>116700</v>
          </cell>
        </row>
        <row r="131">
          <cell r="C131">
            <v>803</v>
          </cell>
          <cell r="D131">
            <v>66100</v>
          </cell>
        </row>
        <row r="132">
          <cell r="C132">
            <v>804</v>
          </cell>
          <cell r="D132">
            <v>70300</v>
          </cell>
        </row>
        <row r="133">
          <cell r="C133">
            <v>805</v>
          </cell>
          <cell r="D133">
            <v>94200</v>
          </cell>
        </row>
        <row r="134">
          <cell r="C134">
            <v>806</v>
          </cell>
          <cell r="D134">
            <v>108465</v>
          </cell>
        </row>
        <row r="135">
          <cell r="C135">
            <v>807</v>
          </cell>
          <cell r="D135">
            <v>90200</v>
          </cell>
        </row>
        <row r="136">
          <cell r="C136">
            <v>808</v>
          </cell>
          <cell r="D136">
            <v>88800</v>
          </cell>
        </row>
        <row r="137">
          <cell r="C137">
            <v>809</v>
          </cell>
          <cell r="D137">
            <v>139100</v>
          </cell>
        </row>
        <row r="138">
          <cell r="C138">
            <v>810</v>
          </cell>
          <cell r="D138">
            <v>70000</v>
          </cell>
        </row>
        <row r="139">
          <cell r="C139">
            <v>811</v>
          </cell>
          <cell r="D139">
            <v>864446.02</v>
          </cell>
        </row>
        <row r="140">
          <cell r="C140">
            <v>812</v>
          </cell>
          <cell r="D140">
            <v>94167.1</v>
          </cell>
        </row>
        <row r="141">
          <cell r="C141">
            <v>813</v>
          </cell>
          <cell r="D141">
            <v>89640</v>
          </cell>
        </row>
        <row r="142">
          <cell r="C142">
            <v>814</v>
          </cell>
          <cell r="D142">
            <v>88400</v>
          </cell>
        </row>
        <row r="143">
          <cell r="C143">
            <v>815</v>
          </cell>
          <cell r="D143">
            <v>146400</v>
          </cell>
        </row>
        <row r="144">
          <cell r="C144">
            <v>816</v>
          </cell>
          <cell r="D144">
            <v>65200</v>
          </cell>
        </row>
        <row r="145">
          <cell r="C145">
            <v>817</v>
          </cell>
          <cell r="D145">
            <v>65732.3</v>
          </cell>
        </row>
        <row r="146">
          <cell r="C146">
            <v>818</v>
          </cell>
          <cell r="D146">
            <v>70400</v>
          </cell>
        </row>
        <row r="147">
          <cell r="C147">
            <v>819</v>
          </cell>
          <cell r="D147">
            <v>96800</v>
          </cell>
        </row>
        <row r="148">
          <cell r="C148">
            <v>820</v>
          </cell>
          <cell r="D148">
            <v>99132.5</v>
          </cell>
        </row>
        <row r="149">
          <cell r="C149">
            <v>901</v>
          </cell>
          <cell r="D149">
            <v>108762.84</v>
          </cell>
        </row>
        <row r="150">
          <cell r="C150">
            <v>902</v>
          </cell>
          <cell r="D150">
            <v>119670</v>
          </cell>
        </row>
        <row r="151">
          <cell r="C151">
            <v>903</v>
          </cell>
          <cell r="D151">
            <v>70400</v>
          </cell>
        </row>
        <row r="152">
          <cell r="C152">
            <v>904</v>
          </cell>
          <cell r="D152">
            <v>69669.08</v>
          </cell>
        </row>
        <row r="153">
          <cell r="C153">
            <v>905</v>
          </cell>
          <cell r="D153">
            <v>94200</v>
          </cell>
        </row>
        <row r="154">
          <cell r="C154">
            <v>906</v>
          </cell>
          <cell r="D154">
            <v>0</v>
          </cell>
        </row>
        <row r="155">
          <cell r="C155">
            <v>907</v>
          </cell>
          <cell r="D155">
            <v>90200</v>
          </cell>
        </row>
        <row r="156">
          <cell r="C156">
            <v>908</v>
          </cell>
          <cell r="D156">
            <v>88800</v>
          </cell>
        </row>
        <row r="157">
          <cell r="C157">
            <v>909</v>
          </cell>
          <cell r="D157">
            <v>138300</v>
          </cell>
        </row>
        <row r="158">
          <cell r="C158">
            <v>910</v>
          </cell>
          <cell r="D158">
            <v>0</v>
          </cell>
        </row>
        <row r="159">
          <cell r="C159">
            <v>911</v>
          </cell>
          <cell r="D159">
            <v>105267.5</v>
          </cell>
        </row>
        <row r="160">
          <cell r="C160">
            <v>912</v>
          </cell>
          <cell r="D160">
            <v>97380</v>
          </cell>
        </row>
        <row r="161">
          <cell r="C161">
            <v>913</v>
          </cell>
          <cell r="D161">
            <v>90400</v>
          </cell>
        </row>
        <row r="162">
          <cell r="C162">
            <v>914</v>
          </cell>
          <cell r="D162">
            <v>88400</v>
          </cell>
        </row>
        <row r="163">
          <cell r="C163">
            <v>915</v>
          </cell>
          <cell r="D163">
            <v>130997.44</v>
          </cell>
        </row>
        <row r="164">
          <cell r="C164">
            <v>916</v>
          </cell>
          <cell r="D164">
            <v>68800</v>
          </cell>
        </row>
        <row r="165">
          <cell r="C165">
            <v>917</v>
          </cell>
          <cell r="D165">
            <v>70000</v>
          </cell>
        </row>
        <row r="166">
          <cell r="C166">
            <v>918</v>
          </cell>
          <cell r="D166">
            <v>70400</v>
          </cell>
        </row>
        <row r="167">
          <cell r="C167">
            <v>919</v>
          </cell>
          <cell r="D167">
            <v>92200</v>
          </cell>
        </row>
        <row r="168">
          <cell r="C168">
            <v>920</v>
          </cell>
          <cell r="D168">
            <v>92899.999999999956</v>
          </cell>
        </row>
        <row r="169">
          <cell r="C169">
            <v>1001</v>
          </cell>
          <cell r="D169">
            <v>109800</v>
          </cell>
        </row>
        <row r="170">
          <cell r="C170">
            <v>1002</v>
          </cell>
          <cell r="D170">
            <v>216000</v>
          </cell>
        </row>
        <row r="171">
          <cell r="C171">
            <v>1003</v>
          </cell>
          <cell r="D171">
            <v>70400</v>
          </cell>
        </row>
        <row r="172">
          <cell r="C172">
            <v>1004</v>
          </cell>
          <cell r="D172">
            <v>69669.08</v>
          </cell>
        </row>
        <row r="173">
          <cell r="C173">
            <v>1005</v>
          </cell>
          <cell r="D173">
            <v>94200</v>
          </cell>
        </row>
        <row r="174">
          <cell r="C174">
            <v>1006</v>
          </cell>
          <cell r="D174">
            <v>94400</v>
          </cell>
        </row>
        <row r="175">
          <cell r="C175">
            <v>1007</v>
          </cell>
          <cell r="D175">
            <v>90200</v>
          </cell>
        </row>
        <row r="176">
          <cell r="C176">
            <v>1008</v>
          </cell>
          <cell r="D176">
            <v>84510</v>
          </cell>
        </row>
        <row r="177">
          <cell r="C177">
            <v>1009</v>
          </cell>
          <cell r="D177">
            <v>128410</v>
          </cell>
        </row>
        <row r="178">
          <cell r="C178">
            <v>1010</v>
          </cell>
          <cell r="D178">
            <v>84900</v>
          </cell>
        </row>
        <row r="179">
          <cell r="C179">
            <v>1011</v>
          </cell>
          <cell r="D179">
            <v>113225</v>
          </cell>
        </row>
        <row r="180">
          <cell r="C180">
            <v>1012</v>
          </cell>
          <cell r="D180">
            <v>97380</v>
          </cell>
        </row>
        <row r="181">
          <cell r="C181">
            <v>1013</v>
          </cell>
          <cell r="D181">
            <v>90400</v>
          </cell>
        </row>
        <row r="182">
          <cell r="C182">
            <v>1014</v>
          </cell>
          <cell r="D182">
            <v>88400</v>
          </cell>
        </row>
        <row r="183">
          <cell r="C183">
            <v>1015</v>
          </cell>
          <cell r="D183">
            <v>133360</v>
          </cell>
        </row>
        <row r="184">
          <cell r="C184">
            <v>1016</v>
          </cell>
          <cell r="D184">
            <v>65200</v>
          </cell>
        </row>
        <row r="185">
          <cell r="C185">
            <v>1017</v>
          </cell>
          <cell r="D185">
            <v>66400</v>
          </cell>
        </row>
        <row r="186">
          <cell r="C186">
            <v>1018</v>
          </cell>
          <cell r="D186">
            <v>69127.17</v>
          </cell>
        </row>
        <row r="187">
          <cell r="C187">
            <v>1019</v>
          </cell>
          <cell r="D187">
            <v>62500</v>
          </cell>
        </row>
        <row r="188">
          <cell r="C188">
            <v>1020</v>
          </cell>
          <cell r="D188">
            <v>0</v>
          </cell>
        </row>
        <row r="189">
          <cell r="C189">
            <v>1101</v>
          </cell>
          <cell r="D189">
            <v>117700</v>
          </cell>
        </row>
        <row r="190">
          <cell r="C190">
            <v>1102</v>
          </cell>
          <cell r="D190">
            <v>115300</v>
          </cell>
        </row>
        <row r="191">
          <cell r="C191">
            <v>1103</v>
          </cell>
          <cell r="D191">
            <v>180300</v>
          </cell>
        </row>
        <row r="192">
          <cell r="C192">
            <v>1104</v>
          </cell>
          <cell r="D192">
            <v>88800</v>
          </cell>
        </row>
        <row r="193">
          <cell r="C193">
            <v>1105</v>
          </cell>
          <cell r="D193">
            <v>65892.7</v>
          </cell>
        </row>
        <row r="194">
          <cell r="C194">
            <v>1106</v>
          </cell>
          <cell r="D194">
            <v>66200</v>
          </cell>
        </row>
        <row r="195">
          <cell r="C195">
            <v>1107</v>
          </cell>
          <cell r="D195">
            <v>68520</v>
          </cell>
        </row>
        <row r="196">
          <cell r="C196">
            <v>1108</v>
          </cell>
          <cell r="D196">
            <v>0</v>
          </cell>
        </row>
        <row r="197">
          <cell r="C197">
            <v>1109</v>
          </cell>
          <cell r="D197">
            <v>118285.73</v>
          </cell>
        </row>
        <row r="198">
          <cell r="C198">
            <v>1110</v>
          </cell>
          <cell r="D198">
            <v>116700</v>
          </cell>
        </row>
        <row r="199">
          <cell r="C199">
            <v>1111</v>
          </cell>
          <cell r="D199">
            <v>119402.5</v>
          </cell>
        </row>
        <row r="200">
          <cell r="C200">
            <v>1112</v>
          </cell>
          <cell r="D200">
            <v>690627.16999999993</v>
          </cell>
        </row>
        <row r="201">
          <cell r="C201">
            <v>1113</v>
          </cell>
          <cell r="D201">
            <v>64639</v>
          </cell>
        </row>
        <row r="202">
          <cell r="C202">
            <v>1114</v>
          </cell>
          <cell r="D202">
            <v>85354.52</v>
          </cell>
        </row>
        <row r="203">
          <cell r="C203">
            <v>1115</v>
          </cell>
          <cell r="D203">
            <v>90250</v>
          </cell>
        </row>
        <row r="204">
          <cell r="C204">
            <v>1116</v>
          </cell>
          <cell r="D204">
            <v>88800</v>
          </cell>
        </row>
        <row r="205">
          <cell r="C205">
            <v>1117</v>
          </cell>
          <cell r="D205">
            <v>116634.22</v>
          </cell>
        </row>
        <row r="206">
          <cell r="C206">
            <v>1118</v>
          </cell>
          <cell r="D206">
            <v>118100</v>
          </cell>
        </row>
        <row r="207">
          <cell r="C207">
            <v>1201</v>
          </cell>
          <cell r="D207">
            <v>125400</v>
          </cell>
        </row>
        <row r="208">
          <cell r="C208">
            <v>1202</v>
          </cell>
          <cell r="D208">
            <v>126600</v>
          </cell>
        </row>
        <row r="209">
          <cell r="C209">
            <v>1203</v>
          </cell>
          <cell r="D209">
            <v>90200</v>
          </cell>
        </row>
        <row r="210">
          <cell r="C210">
            <v>1204</v>
          </cell>
          <cell r="D210">
            <v>88800</v>
          </cell>
        </row>
        <row r="211">
          <cell r="C211">
            <v>1205</v>
          </cell>
          <cell r="D211">
            <v>66400</v>
          </cell>
        </row>
        <row r="212">
          <cell r="C212">
            <v>1206</v>
          </cell>
          <cell r="D212">
            <v>69118.490000000005</v>
          </cell>
        </row>
        <row r="213">
          <cell r="C213">
            <v>1207</v>
          </cell>
          <cell r="D213">
            <v>67932</v>
          </cell>
        </row>
        <row r="214">
          <cell r="C214">
            <v>1208</v>
          </cell>
          <cell r="D214">
            <v>111100</v>
          </cell>
        </row>
        <row r="215">
          <cell r="C215">
            <v>1209</v>
          </cell>
          <cell r="D215">
            <v>110900</v>
          </cell>
        </row>
        <row r="216">
          <cell r="C216">
            <v>1210</v>
          </cell>
          <cell r="D216">
            <v>111100</v>
          </cell>
        </row>
        <row r="217">
          <cell r="C217">
            <v>1211</v>
          </cell>
          <cell r="D217">
            <v>119402.5</v>
          </cell>
        </row>
        <row r="218">
          <cell r="C218">
            <v>1212</v>
          </cell>
          <cell r="D218">
            <v>66700</v>
          </cell>
        </row>
        <row r="219">
          <cell r="C219">
            <v>1213</v>
          </cell>
          <cell r="D219">
            <v>64639</v>
          </cell>
        </row>
        <row r="220">
          <cell r="C220">
            <v>1214</v>
          </cell>
          <cell r="D220">
            <v>78700</v>
          </cell>
        </row>
        <row r="221">
          <cell r="C221">
            <v>1215</v>
          </cell>
          <cell r="D221">
            <v>85900</v>
          </cell>
        </row>
        <row r="222">
          <cell r="C222">
            <v>1216</v>
          </cell>
          <cell r="D222">
            <v>744278.08000000007</v>
          </cell>
        </row>
        <row r="223">
          <cell r="C223">
            <v>1217</v>
          </cell>
          <cell r="D223">
            <v>125400</v>
          </cell>
        </row>
        <row r="224">
          <cell r="C224">
            <v>1218</v>
          </cell>
          <cell r="D224">
            <v>114250</v>
          </cell>
        </row>
        <row r="225">
          <cell r="C225">
            <v>1301</v>
          </cell>
          <cell r="D225">
            <v>125400</v>
          </cell>
        </row>
        <row r="226">
          <cell r="C226">
            <v>1302</v>
          </cell>
          <cell r="D226">
            <v>114265</v>
          </cell>
        </row>
        <row r="227">
          <cell r="C227">
            <v>1303</v>
          </cell>
          <cell r="D227">
            <v>90200</v>
          </cell>
        </row>
        <row r="228">
          <cell r="C228">
            <v>1304</v>
          </cell>
          <cell r="D228">
            <v>87981.06</v>
          </cell>
        </row>
        <row r="229">
          <cell r="C229">
            <v>1305</v>
          </cell>
          <cell r="D229">
            <v>52300</v>
          </cell>
        </row>
        <row r="230">
          <cell r="C230">
            <v>1306</v>
          </cell>
          <cell r="D230">
            <v>69800</v>
          </cell>
        </row>
        <row r="231">
          <cell r="C231">
            <v>1307</v>
          </cell>
          <cell r="D231">
            <v>67932</v>
          </cell>
        </row>
        <row r="232">
          <cell r="C232">
            <v>1308</v>
          </cell>
          <cell r="D232">
            <v>118393</v>
          </cell>
        </row>
        <row r="233">
          <cell r="C233">
            <v>1309</v>
          </cell>
          <cell r="D233">
            <v>0</v>
          </cell>
        </row>
        <row r="234">
          <cell r="C234">
            <v>1310</v>
          </cell>
          <cell r="D234">
            <v>111100</v>
          </cell>
        </row>
        <row r="235">
          <cell r="C235">
            <v>1311</v>
          </cell>
          <cell r="D235">
            <v>102201</v>
          </cell>
        </row>
        <row r="236">
          <cell r="C236">
            <v>1312</v>
          </cell>
          <cell r="D236">
            <v>66700</v>
          </cell>
        </row>
        <row r="237">
          <cell r="C237">
            <v>1313</v>
          </cell>
          <cell r="D237">
            <v>64639</v>
          </cell>
        </row>
        <row r="238">
          <cell r="C238">
            <v>1314</v>
          </cell>
          <cell r="D238">
            <v>71600</v>
          </cell>
        </row>
        <row r="239">
          <cell r="C239">
            <v>1315</v>
          </cell>
          <cell r="D239">
            <v>760836.99</v>
          </cell>
        </row>
        <row r="240">
          <cell r="C240">
            <v>1316</v>
          </cell>
          <cell r="D240">
            <v>87981.06</v>
          </cell>
        </row>
        <row r="241">
          <cell r="C241">
            <v>1317</v>
          </cell>
          <cell r="D241">
            <v>131685</v>
          </cell>
        </row>
        <row r="242">
          <cell r="C242">
            <v>1318</v>
          </cell>
          <cell r="D242">
            <v>0</v>
          </cell>
        </row>
        <row r="243">
          <cell r="C243">
            <v>1401</v>
          </cell>
          <cell r="D243">
            <v>117300</v>
          </cell>
        </row>
        <row r="244">
          <cell r="C244">
            <v>1402</v>
          </cell>
          <cell r="D244">
            <v>125220</v>
          </cell>
        </row>
        <row r="245">
          <cell r="C245">
            <v>1403</v>
          </cell>
          <cell r="D245">
            <v>85327.54</v>
          </cell>
        </row>
        <row r="246">
          <cell r="C246">
            <v>1404</v>
          </cell>
          <cell r="D246">
            <v>169971</v>
          </cell>
        </row>
        <row r="247">
          <cell r="C247">
            <v>1405</v>
          </cell>
          <cell r="D247">
            <v>130100</v>
          </cell>
        </row>
        <row r="248">
          <cell r="C248">
            <v>1406</v>
          </cell>
          <cell r="D248">
            <v>65200</v>
          </cell>
        </row>
        <row r="249">
          <cell r="C249">
            <v>1407</v>
          </cell>
          <cell r="D249">
            <v>107410</v>
          </cell>
        </row>
        <row r="250">
          <cell r="C250">
            <v>1408</v>
          </cell>
          <cell r="D250">
            <v>0</v>
          </cell>
        </row>
        <row r="251">
          <cell r="C251">
            <v>1409</v>
          </cell>
          <cell r="D251">
            <v>85840</v>
          </cell>
        </row>
        <row r="252">
          <cell r="C252">
            <v>1410</v>
          </cell>
          <cell r="D252">
            <v>88800</v>
          </cell>
        </row>
        <row r="253">
          <cell r="C253">
            <v>1411</v>
          </cell>
          <cell r="D253">
            <v>138300</v>
          </cell>
        </row>
        <row r="254">
          <cell r="C254">
            <v>1412</v>
          </cell>
          <cell r="D254">
            <v>66200</v>
          </cell>
        </row>
        <row r="255">
          <cell r="C255">
            <v>1501</v>
          </cell>
          <cell r="D255">
            <v>73600</v>
          </cell>
        </row>
        <row r="256">
          <cell r="C256">
            <v>1502</v>
          </cell>
          <cell r="D256">
            <v>131660</v>
          </cell>
        </row>
        <row r="257">
          <cell r="C257">
            <v>1503</v>
          </cell>
          <cell r="D257">
            <v>85227.540000000008</v>
          </cell>
        </row>
        <row r="258">
          <cell r="C258">
            <v>1504</v>
          </cell>
          <cell r="D258">
            <v>88800</v>
          </cell>
        </row>
        <row r="259">
          <cell r="C259">
            <v>1505</v>
          </cell>
          <cell r="D259">
            <v>127800</v>
          </cell>
        </row>
        <row r="260">
          <cell r="C260">
            <v>1506</v>
          </cell>
          <cell r="D260">
            <v>0</v>
          </cell>
        </row>
        <row r="261">
          <cell r="C261">
            <v>1507</v>
          </cell>
          <cell r="D261">
            <v>114161</v>
          </cell>
        </row>
        <row r="262">
          <cell r="C262">
            <v>1508</v>
          </cell>
          <cell r="D262">
            <v>114160</v>
          </cell>
        </row>
        <row r="263">
          <cell r="C263">
            <v>1509</v>
          </cell>
          <cell r="D263">
            <v>768077.04</v>
          </cell>
        </row>
        <row r="264">
          <cell r="C264">
            <v>1510</v>
          </cell>
          <cell r="D264">
            <v>88800</v>
          </cell>
        </row>
        <row r="265">
          <cell r="C265">
            <v>1511</v>
          </cell>
          <cell r="D265">
            <v>138300</v>
          </cell>
        </row>
        <row r="266">
          <cell r="C266">
            <v>1512</v>
          </cell>
          <cell r="D266">
            <v>0</v>
          </cell>
        </row>
        <row r="267">
          <cell r="C267">
            <v>1601</v>
          </cell>
          <cell r="D267">
            <v>125583.9</v>
          </cell>
        </row>
        <row r="268">
          <cell r="C268">
            <v>1602</v>
          </cell>
          <cell r="D268">
            <v>0</v>
          </cell>
        </row>
        <row r="269">
          <cell r="C269">
            <v>1603</v>
          </cell>
          <cell r="D269">
            <v>156030.60999999999</v>
          </cell>
        </row>
        <row r="270">
          <cell r="C270">
            <v>1604</v>
          </cell>
          <cell r="D270">
            <v>89500</v>
          </cell>
        </row>
        <row r="271">
          <cell r="C271">
            <v>1605</v>
          </cell>
          <cell r="D271">
            <v>139355</v>
          </cell>
        </row>
        <row r="272">
          <cell r="C272">
            <v>1606</v>
          </cell>
          <cell r="D272">
            <v>0</v>
          </cell>
        </row>
        <row r="273">
          <cell r="C273">
            <v>1607</v>
          </cell>
          <cell r="D273">
            <v>132510</v>
          </cell>
        </row>
        <row r="274">
          <cell r="C274">
            <v>1608</v>
          </cell>
          <cell r="D274">
            <v>115448</v>
          </cell>
        </row>
        <row r="275">
          <cell r="C275">
            <v>1609</v>
          </cell>
          <cell r="D275">
            <v>86150.58</v>
          </cell>
        </row>
        <row r="276">
          <cell r="C276">
            <v>1610</v>
          </cell>
          <cell r="D276">
            <v>890081.34</v>
          </cell>
        </row>
        <row r="277">
          <cell r="C277">
            <v>1611</v>
          </cell>
          <cell r="D277">
            <v>50500</v>
          </cell>
        </row>
        <row r="278">
          <cell r="C278">
            <v>1612</v>
          </cell>
          <cell r="D278">
            <v>0</v>
          </cell>
        </row>
        <row r="279">
          <cell r="C279">
            <v>1701</v>
          </cell>
          <cell r="D279">
            <v>139070</v>
          </cell>
        </row>
        <row r="280">
          <cell r="C280">
            <v>1702</v>
          </cell>
          <cell r="D280">
            <v>66700</v>
          </cell>
        </row>
        <row r="281">
          <cell r="C281">
            <v>1703</v>
          </cell>
          <cell r="D281">
            <v>113850</v>
          </cell>
        </row>
        <row r="282">
          <cell r="C282">
            <v>1704</v>
          </cell>
          <cell r="D282">
            <v>62000</v>
          </cell>
        </row>
        <row r="283">
          <cell r="C283">
            <v>1705</v>
          </cell>
          <cell r="D283">
            <v>144643.27000000002</v>
          </cell>
        </row>
        <row r="284">
          <cell r="C284">
            <v>1706</v>
          </cell>
          <cell r="D284">
            <v>87051</v>
          </cell>
        </row>
        <row r="285">
          <cell r="C285">
            <v>1707</v>
          </cell>
          <cell r="D285">
            <v>65550</v>
          </cell>
        </row>
        <row r="286">
          <cell r="C286">
            <v>1708</v>
          </cell>
          <cell r="D286">
            <v>66800</v>
          </cell>
        </row>
        <row r="287">
          <cell r="C287">
            <v>1801</v>
          </cell>
          <cell r="D287">
            <v>139152</v>
          </cell>
        </row>
        <row r="288">
          <cell r="C288">
            <v>1802</v>
          </cell>
          <cell r="D288">
            <v>84900</v>
          </cell>
        </row>
        <row r="289">
          <cell r="C289">
            <v>1803</v>
          </cell>
          <cell r="D289">
            <v>0</v>
          </cell>
        </row>
        <row r="290">
          <cell r="C290">
            <v>1804</v>
          </cell>
          <cell r="D290">
            <v>62000</v>
          </cell>
        </row>
        <row r="291">
          <cell r="C291">
            <v>1805</v>
          </cell>
          <cell r="D291">
            <v>0</v>
          </cell>
        </row>
        <row r="292">
          <cell r="C292">
            <v>1806</v>
          </cell>
          <cell r="D292">
            <v>86150.58</v>
          </cell>
        </row>
        <row r="293">
          <cell r="C293">
            <v>1807</v>
          </cell>
          <cell r="D293">
            <v>113156</v>
          </cell>
        </row>
        <row r="294">
          <cell r="C294">
            <v>1808</v>
          </cell>
          <cell r="D294">
            <v>141808.51</v>
          </cell>
        </row>
        <row r="295">
          <cell r="C295">
            <v>1901</v>
          </cell>
          <cell r="D295">
            <v>73882</v>
          </cell>
        </row>
        <row r="296">
          <cell r="C296">
            <v>1902</v>
          </cell>
          <cell r="D296">
            <v>132200</v>
          </cell>
        </row>
        <row r="297">
          <cell r="C297">
            <v>1903</v>
          </cell>
          <cell r="D297">
            <v>132650</v>
          </cell>
        </row>
        <row r="298">
          <cell r="C298">
            <v>1904</v>
          </cell>
          <cell r="D298">
            <v>132200</v>
          </cell>
        </row>
        <row r="299">
          <cell r="C299">
            <v>1905</v>
          </cell>
          <cell r="D299">
            <v>136500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al List"/>
      <sheetName val="KPI vs Actual"/>
      <sheetName val="Gráfica - Riesgo"/>
      <sheetName val="Posibles desistimientos"/>
      <sheetName val="Desistimientos"/>
    </sheetNames>
    <sheetDataSet>
      <sheetData sheetId="0">
        <row r="4">
          <cell r="F4" t="str">
            <v xml:space="preserve">Apto </v>
          </cell>
          <cell r="G4" t="str">
            <v>Tipo de Crédito</v>
          </cell>
          <cell r="H4" t="str">
            <v>En Armado de Expediente</v>
          </cell>
          <cell r="I4" t="str">
            <v>Expediente enviado</v>
          </cell>
          <cell r="J4" t="str">
            <v>Aprobación FHA</v>
          </cell>
          <cell r="K4" t="str">
            <v>Aprobación Banco</v>
          </cell>
          <cell r="L4" t="str">
            <v>Perfil de Cliente</v>
          </cell>
          <cell r="M4" t="str">
            <v>Bloque de PCV</v>
          </cell>
          <cell r="N4" t="str">
            <v>Precalificación</v>
          </cell>
          <cell r="O4" t="str">
            <v xml:space="preserve">Fecha de notificación a Cliente </v>
          </cell>
          <cell r="P4" t="str">
            <v>Días Transcurridos desde la Notifcación</v>
          </cell>
          <cell r="Q4" t="str">
            <v>Observaciones de Precalificación</v>
          </cell>
        </row>
        <row r="5">
          <cell r="F5">
            <v>101</v>
          </cell>
          <cell r="L5" t="str">
            <v>CLIENTE RETAIL</v>
          </cell>
          <cell r="M5">
            <v>1</v>
          </cell>
          <cell r="N5" t="str">
            <v>APROBADA</v>
          </cell>
        </row>
        <row r="6">
          <cell r="F6">
            <v>102</v>
          </cell>
          <cell r="L6" t="str">
            <v>CLIENTE RETAIL</v>
          </cell>
          <cell r="M6">
            <v>4</v>
          </cell>
          <cell r="N6" t="str">
            <v>APROBADA</v>
          </cell>
        </row>
        <row r="7">
          <cell r="F7">
            <v>103</v>
          </cell>
          <cell r="G7" t="str">
            <v>CONTADO</v>
          </cell>
          <cell r="L7" t="str">
            <v>INVERSIONISTA</v>
          </cell>
          <cell r="M7">
            <v>2</v>
          </cell>
          <cell r="N7" t="str">
            <v>N/A</v>
          </cell>
        </row>
        <row r="8">
          <cell r="F8">
            <v>104</v>
          </cell>
          <cell r="G8" t="str">
            <v>FHA</v>
          </cell>
          <cell r="L8" t="str">
            <v>CLIENTE RETAIL</v>
          </cell>
          <cell r="M8">
            <v>2</v>
          </cell>
          <cell r="N8" t="str">
            <v>DENEGADA</v>
          </cell>
          <cell r="O8">
            <v>46045</v>
          </cell>
          <cell r="P8">
            <v>35</v>
          </cell>
          <cell r="Q8" t="str">
            <v>Cliente posee RCI del 68% (Crédito hipotecario Q471mil y TCs por Q44 mil), se sugiere adicionar otro deudor.</v>
          </cell>
        </row>
        <row r="9">
          <cell r="F9">
            <v>105</v>
          </cell>
          <cell r="M9">
            <v>4</v>
          </cell>
          <cell r="N9" t="str">
            <v>DISPONIBLE</v>
          </cell>
        </row>
        <row r="10">
          <cell r="F10">
            <v>106</v>
          </cell>
          <cell r="L10" t="str">
            <v>CLIENTE RETAIL</v>
          </cell>
          <cell r="M10">
            <v>3</v>
          </cell>
          <cell r="N10" t="str">
            <v>APROBADA</v>
          </cell>
        </row>
        <row r="11">
          <cell r="F11">
            <v>107</v>
          </cell>
          <cell r="M11">
            <v>4</v>
          </cell>
          <cell r="N11" t="str">
            <v>DISPONIBLE</v>
          </cell>
        </row>
        <row r="12">
          <cell r="F12">
            <v>108</v>
          </cell>
          <cell r="M12">
            <v>4</v>
          </cell>
          <cell r="N12" t="str">
            <v>DISPONIBLE</v>
          </cell>
        </row>
        <row r="13">
          <cell r="F13">
            <v>109</v>
          </cell>
          <cell r="G13" t="str">
            <v>CONTADO</v>
          </cell>
          <cell r="H13" t="str">
            <v>SI</v>
          </cell>
          <cell r="I13" t="str">
            <v>N/A</v>
          </cell>
          <cell r="J13" t="str">
            <v>N/A</v>
          </cell>
          <cell r="K13" t="str">
            <v>N/A</v>
          </cell>
          <cell r="L13" t="str">
            <v>CLIENTE RETAIL</v>
          </cell>
          <cell r="M13">
            <v>2</v>
          </cell>
          <cell r="N13" t="str">
            <v>APROBADA</v>
          </cell>
        </row>
        <row r="14">
          <cell r="F14">
            <v>110</v>
          </cell>
          <cell r="L14" t="str">
            <v>CLIENTE RETAIL</v>
          </cell>
          <cell r="M14">
            <v>2</v>
          </cell>
          <cell r="N14" t="str">
            <v>APROBADA</v>
          </cell>
        </row>
        <row r="15">
          <cell r="F15">
            <v>111</v>
          </cell>
          <cell r="G15" t="str">
            <v>FHA</v>
          </cell>
          <cell r="L15" t="str">
            <v>CLIENTE RETAIL</v>
          </cell>
          <cell r="M15">
            <v>1</v>
          </cell>
          <cell r="N15" t="str">
            <v>DENEGADA</v>
          </cell>
          <cell r="O15">
            <v>46045</v>
          </cell>
          <cell r="P15">
            <v>35</v>
          </cell>
          <cell r="Q15" t="str">
            <v>Cliente posee RCI del 68% (Crédito hipotecario Q471mil y TCs por Q44 mil), se sugiere adicionar otro deudor.</v>
          </cell>
        </row>
        <row r="16">
          <cell r="F16">
            <v>112</v>
          </cell>
          <cell r="L16" t="str">
            <v>CLIENTE RETAIL</v>
          </cell>
          <cell r="M16">
            <v>1</v>
          </cell>
          <cell r="N16" t="str">
            <v>APROBADA</v>
          </cell>
        </row>
        <row r="17">
          <cell r="F17">
            <v>113</v>
          </cell>
          <cell r="L17" t="str">
            <v>CLIENTE RETAIL</v>
          </cell>
          <cell r="M17">
            <v>2</v>
          </cell>
          <cell r="N17" t="str">
            <v>APROBADA</v>
          </cell>
        </row>
        <row r="18">
          <cell r="F18">
            <v>114</v>
          </cell>
          <cell r="G18" t="str">
            <v>CONTADO</v>
          </cell>
          <cell r="L18" t="str">
            <v>INVERSIONISTA</v>
          </cell>
          <cell r="M18">
            <v>1</v>
          </cell>
          <cell r="N18" t="str">
            <v>N/A</v>
          </cell>
        </row>
        <row r="19">
          <cell r="F19">
            <v>201</v>
          </cell>
          <cell r="M19">
            <v>4</v>
          </cell>
          <cell r="N19" t="str">
            <v>DISPONIBLE</v>
          </cell>
        </row>
        <row r="20">
          <cell r="F20">
            <v>202</v>
          </cell>
          <cell r="G20" t="str">
            <v>FHA</v>
          </cell>
          <cell r="H20" t="str">
            <v>SI</v>
          </cell>
          <cell r="I20" t="str">
            <v>SI</v>
          </cell>
          <cell r="J20" t="str">
            <v>APROBADO</v>
          </cell>
          <cell r="K20" t="str">
            <v>APROBADO</v>
          </cell>
          <cell r="L20" t="str">
            <v>CLIENTE RETAIL</v>
          </cell>
          <cell r="M20">
            <v>2</v>
          </cell>
          <cell r="N20" t="str">
            <v>APROBADA</v>
          </cell>
        </row>
        <row r="21">
          <cell r="F21">
            <v>203</v>
          </cell>
          <cell r="M21">
            <v>4</v>
          </cell>
          <cell r="N21" t="str">
            <v>DISPONIBLE</v>
          </cell>
        </row>
        <row r="22">
          <cell r="F22">
            <v>204</v>
          </cell>
          <cell r="G22" t="str">
            <v>FHA</v>
          </cell>
          <cell r="L22" t="str">
            <v>CLIENTE RETAIL</v>
          </cell>
          <cell r="M22">
            <v>2</v>
          </cell>
          <cell r="N22" t="str">
            <v>APROBADA</v>
          </cell>
          <cell r="Q22" t="str">
            <v>Cliente no posee record crediticio, Banco indica que no es un impedimiento para solicitar el crédito hipotecario.</v>
          </cell>
        </row>
        <row r="23">
          <cell r="F23">
            <v>205</v>
          </cell>
          <cell r="G23" t="str">
            <v>FHA</v>
          </cell>
          <cell r="L23" t="str">
            <v>CLIENTE RETAIL</v>
          </cell>
          <cell r="M23">
            <v>2</v>
          </cell>
          <cell r="N23" t="str">
            <v>APROBADA</v>
          </cell>
        </row>
        <row r="24">
          <cell r="F24">
            <v>206</v>
          </cell>
          <cell r="M24">
            <v>4</v>
          </cell>
          <cell r="N24" t="str">
            <v>DISPONIBLE</v>
          </cell>
        </row>
        <row r="25">
          <cell r="F25">
            <v>207</v>
          </cell>
          <cell r="M25">
            <v>4</v>
          </cell>
          <cell r="N25" t="str">
            <v>DISPONIBLE</v>
          </cell>
        </row>
        <row r="26">
          <cell r="F26">
            <v>208</v>
          </cell>
          <cell r="M26">
            <v>4</v>
          </cell>
          <cell r="N26" t="str">
            <v>DISPONIBLE</v>
          </cell>
        </row>
        <row r="27">
          <cell r="F27">
            <v>209</v>
          </cell>
          <cell r="G27" t="str">
            <v>FHA</v>
          </cell>
          <cell r="L27" t="str">
            <v>CLIENTE RETAIL</v>
          </cell>
          <cell r="M27">
            <v>3</v>
          </cell>
          <cell r="N27" t="str">
            <v>APROBADA</v>
          </cell>
        </row>
        <row r="28">
          <cell r="F28">
            <v>210</v>
          </cell>
          <cell r="G28" t="str">
            <v>FHA</v>
          </cell>
          <cell r="H28" t="str">
            <v>SI</v>
          </cell>
          <cell r="I28" t="str">
            <v>SI</v>
          </cell>
          <cell r="J28" t="str">
            <v>APROBADO</v>
          </cell>
          <cell r="K28" t="str">
            <v>APROBADO</v>
          </cell>
          <cell r="L28" t="str">
            <v>CLIENTE RETAIL</v>
          </cell>
          <cell r="M28">
            <v>3</v>
          </cell>
          <cell r="N28" t="str">
            <v>APROBADA</v>
          </cell>
        </row>
        <row r="29">
          <cell r="F29">
            <v>211</v>
          </cell>
          <cell r="M29">
            <v>4</v>
          </cell>
          <cell r="N29" t="str">
            <v>DISPONIBLE</v>
          </cell>
        </row>
        <row r="30">
          <cell r="F30">
            <v>212</v>
          </cell>
          <cell r="G30" t="str">
            <v>FHA</v>
          </cell>
          <cell r="L30" t="str">
            <v>CLIENTE RETAIL</v>
          </cell>
          <cell r="M30">
            <v>2</v>
          </cell>
          <cell r="N30" t="str">
            <v>APROBADA</v>
          </cell>
        </row>
        <row r="31">
          <cell r="F31">
            <v>213</v>
          </cell>
          <cell r="G31" t="str">
            <v>FHA</v>
          </cell>
          <cell r="L31" t="str">
            <v>CLIENTE RETAIL</v>
          </cell>
          <cell r="M31">
            <v>2</v>
          </cell>
          <cell r="N31" t="str">
            <v>APROBADA</v>
          </cell>
        </row>
        <row r="32">
          <cell r="F32">
            <v>214</v>
          </cell>
          <cell r="G32" t="str">
            <v>FHA</v>
          </cell>
          <cell r="H32" t="str">
            <v>SI</v>
          </cell>
          <cell r="I32" t="str">
            <v>SI</v>
          </cell>
          <cell r="J32" t="str">
            <v>APROBADO</v>
          </cell>
          <cell r="K32" t="str">
            <v>APROBADO</v>
          </cell>
          <cell r="L32" t="str">
            <v>CLIENTE RETAIL</v>
          </cell>
          <cell r="M32">
            <v>2</v>
          </cell>
          <cell r="N32" t="str">
            <v>APROBADA</v>
          </cell>
        </row>
        <row r="33">
          <cell r="F33">
            <v>215</v>
          </cell>
          <cell r="G33" t="str">
            <v>DIRECTO</v>
          </cell>
          <cell r="H33" t="str">
            <v>SI</v>
          </cell>
          <cell r="I33" t="str">
            <v>SI</v>
          </cell>
          <cell r="J33" t="str">
            <v>N/A</v>
          </cell>
          <cell r="K33" t="str">
            <v>APROBADO</v>
          </cell>
          <cell r="L33" t="str">
            <v>CLIENTE RETAIL</v>
          </cell>
          <cell r="M33">
            <v>2</v>
          </cell>
          <cell r="N33" t="str">
            <v>APROBADA</v>
          </cell>
        </row>
        <row r="34">
          <cell r="F34">
            <v>216</v>
          </cell>
          <cell r="G34" t="str">
            <v>CONTADO</v>
          </cell>
          <cell r="H34" t="str">
            <v>SI</v>
          </cell>
          <cell r="I34" t="str">
            <v>N/A</v>
          </cell>
          <cell r="J34" t="str">
            <v>N/A</v>
          </cell>
          <cell r="K34" t="str">
            <v xml:space="preserve"> </v>
          </cell>
          <cell r="L34" t="str">
            <v>CLIENTE RETAIL</v>
          </cell>
          <cell r="M34">
            <v>4</v>
          </cell>
          <cell r="N34" t="str">
            <v>APROBADA</v>
          </cell>
        </row>
        <row r="35">
          <cell r="F35">
            <v>301</v>
          </cell>
          <cell r="G35" t="str">
            <v>FHA</v>
          </cell>
          <cell r="L35" t="str">
            <v>CLIENTE RETAIL</v>
          </cell>
          <cell r="M35">
            <v>2</v>
          </cell>
          <cell r="N35" t="str">
            <v>APROBADA</v>
          </cell>
        </row>
        <row r="36">
          <cell r="F36">
            <v>302</v>
          </cell>
          <cell r="G36" t="str">
            <v>FHA</v>
          </cell>
          <cell r="L36" t="str">
            <v>CLIENTE RETAIL</v>
          </cell>
          <cell r="M36">
            <v>3</v>
          </cell>
          <cell r="N36" t="str">
            <v>APROBADA</v>
          </cell>
        </row>
        <row r="37">
          <cell r="F37">
            <v>303</v>
          </cell>
          <cell r="G37" t="str">
            <v>FHA</v>
          </cell>
          <cell r="M37">
            <v>4</v>
          </cell>
          <cell r="N37" t="str">
            <v>DISPONIBLE</v>
          </cell>
        </row>
        <row r="38">
          <cell r="F38">
            <v>304</v>
          </cell>
          <cell r="G38" t="str">
            <v>FHA</v>
          </cell>
          <cell r="H38" t="str">
            <v>SI</v>
          </cell>
          <cell r="I38" t="str">
            <v>SI</v>
          </cell>
          <cell r="J38" t="str">
            <v>APROBADO</v>
          </cell>
          <cell r="K38" t="str">
            <v>APROBADO</v>
          </cell>
          <cell r="L38" t="str">
            <v>CLIENTE RETAIL</v>
          </cell>
          <cell r="M38">
            <v>2</v>
          </cell>
          <cell r="N38" t="str">
            <v>APROBADA</v>
          </cell>
        </row>
        <row r="39">
          <cell r="F39">
            <v>305</v>
          </cell>
          <cell r="G39" t="str">
            <v>FHA</v>
          </cell>
          <cell r="L39" t="str">
            <v>CLIENTE RETAIL</v>
          </cell>
          <cell r="M39">
            <v>1</v>
          </cell>
          <cell r="N39" t="str">
            <v>APROBADA</v>
          </cell>
          <cell r="O39">
            <v>46045</v>
          </cell>
          <cell r="P39">
            <v>35</v>
          </cell>
        </row>
        <row r="40">
          <cell r="F40">
            <v>306</v>
          </cell>
          <cell r="M40">
            <v>4</v>
          </cell>
          <cell r="N40" t="str">
            <v>DISPONIBLE</v>
          </cell>
        </row>
        <row r="41">
          <cell r="F41">
            <v>307</v>
          </cell>
          <cell r="G41" t="str">
            <v>FHA</v>
          </cell>
          <cell r="L41" t="str">
            <v>CLIENTE RETAIL</v>
          </cell>
          <cell r="M41">
            <v>4</v>
          </cell>
          <cell r="N41" t="str">
            <v>APROBADA</v>
          </cell>
        </row>
        <row r="42">
          <cell r="F42">
            <v>308</v>
          </cell>
          <cell r="G42" t="str">
            <v>FHA</v>
          </cell>
          <cell r="H42" t="str">
            <v>SI</v>
          </cell>
          <cell r="I42" t="str">
            <v>SI</v>
          </cell>
          <cell r="J42" t="str">
            <v>APROBADO</v>
          </cell>
          <cell r="K42" t="str">
            <v>APROBADO</v>
          </cell>
          <cell r="L42" t="str">
            <v>CLIENTE RETAIL</v>
          </cell>
          <cell r="M42">
            <v>2</v>
          </cell>
          <cell r="N42" t="str">
            <v>APROBADA</v>
          </cell>
        </row>
        <row r="43">
          <cell r="F43">
            <v>309</v>
          </cell>
          <cell r="G43" t="str">
            <v>FHA</v>
          </cell>
          <cell r="L43" t="str">
            <v>CLIENTE RETAIL</v>
          </cell>
          <cell r="M43">
            <v>2</v>
          </cell>
          <cell r="N43" t="str">
            <v>DENEGADA</v>
          </cell>
          <cell r="O43">
            <v>46048</v>
          </cell>
          <cell r="P43">
            <v>32</v>
          </cell>
          <cell r="Q43" t="str">
            <v>Cliente posee RCI del 74% (Dos Crédito Hipotecario 1 millón y 260 mil, Crédito Prendario Q131 mil y TC Q89 mil), se sugiere adicionar otro deudor.</v>
          </cell>
        </row>
        <row r="44">
          <cell r="F44">
            <v>310</v>
          </cell>
          <cell r="G44" t="str">
            <v>FHA</v>
          </cell>
          <cell r="L44" t="str">
            <v>CLIENTE RETAIL</v>
          </cell>
          <cell r="M44">
            <v>4</v>
          </cell>
          <cell r="N44" t="str">
            <v>APROBADA</v>
          </cell>
        </row>
        <row r="45">
          <cell r="F45">
            <v>311</v>
          </cell>
          <cell r="G45" t="str">
            <v>FHA</v>
          </cell>
          <cell r="L45" t="str">
            <v>CLIENTE RETAIL</v>
          </cell>
          <cell r="M45">
            <v>2</v>
          </cell>
          <cell r="N45" t="str">
            <v>APROBADA</v>
          </cell>
        </row>
        <row r="46">
          <cell r="F46">
            <v>312</v>
          </cell>
          <cell r="G46" t="str">
            <v>FHA</v>
          </cell>
          <cell r="L46" t="str">
            <v>CLIENTE RETAIL</v>
          </cell>
          <cell r="M46">
            <v>2</v>
          </cell>
          <cell r="N46" t="str">
            <v>APROBADA</v>
          </cell>
        </row>
        <row r="47">
          <cell r="F47">
            <v>313</v>
          </cell>
          <cell r="G47" t="str">
            <v>FHA</v>
          </cell>
          <cell r="L47" t="str">
            <v>CLIENTE RETAIL</v>
          </cell>
          <cell r="M47">
            <v>2</v>
          </cell>
          <cell r="N47" t="str">
            <v>APROBADA</v>
          </cell>
        </row>
        <row r="48">
          <cell r="F48">
            <v>314</v>
          </cell>
          <cell r="G48" t="str">
            <v>FHA</v>
          </cell>
          <cell r="H48" t="str">
            <v>SI</v>
          </cell>
          <cell r="I48" t="str">
            <v>SI</v>
          </cell>
          <cell r="J48" t="str">
            <v>APROBADO</v>
          </cell>
          <cell r="K48" t="str">
            <v>APROBADO</v>
          </cell>
          <cell r="L48" t="str">
            <v>CLIENTE RETAIL</v>
          </cell>
          <cell r="M48">
            <v>3</v>
          </cell>
          <cell r="N48" t="str">
            <v>APROBADA</v>
          </cell>
        </row>
        <row r="49">
          <cell r="F49">
            <v>315</v>
          </cell>
          <cell r="G49" t="str">
            <v>DIRECTO</v>
          </cell>
          <cell r="L49" t="str">
            <v>CLIENTE RETAIL</v>
          </cell>
          <cell r="M49">
            <v>3</v>
          </cell>
          <cell r="N49" t="str">
            <v>APROBADA</v>
          </cell>
        </row>
        <row r="50">
          <cell r="F50">
            <v>316</v>
          </cell>
          <cell r="G50" t="str">
            <v>CONTADO</v>
          </cell>
          <cell r="H50" t="str">
            <v>SI</v>
          </cell>
          <cell r="I50" t="str">
            <v>N/A</v>
          </cell>
          <cell r="J50" t="str">
            <v>N/A</v>
          </cell>
          <cell r="K50" t="str">
            <v>N/A</v>
          </cell>
          <cell r="L50" t="str">
            <v>CLIENTE RETAIL</v>
          </cell>
          <cell r="M50">
            <v>4</v>
          </cell>
          <cell r="N50" t="str">
            <v>APROBADA</v>
          </cell>
        </row>
        <row r="51">
          <cell r="F51">
            <v>317</v>
          </cell>
          <cell r="G51" t="str">
            <v>FHA</v>
          </cell>
          <cell r="L51" t="str">
            <v>CLIENTE RETAIL</v>
          </cell>
          <cell r="M51">
            <v>2</v>
          </cell>
          <cell r="N51" t="str">
            <v>APROBADA</v>
          </cell>
        </row>
        <row r="52">
          <cell r="F52">
            <v>318</v>
          </cell>
          <cell r="G52" t="str">
            <v>FHA</v>
          </cell>
          <cell r="L52" t="str">
            <v>CLIENTE RETAIL</v>
          </cell>
          <cell r="M52">
            <v>2</v>
          </cell>
          <cell r="N52" t="str">
            <v>DENEGADA</v>
          </cell>
          <cell r="O52">
            <v>46048</v>
          </cell>
          <cell r="P52">
            <v>32</v>
          </cell>
          <cell r="Q52" t="str">
            <v>Cliente ahora no posee capacidad de pago, se recomienda adicionar un segundo deudor con Q8,000 libres.</v>
          </cell>
        </row>
        <row r="53">
          <cell r="F53">
            <v>319</v>
          </cell>
          <cell r="G53" t="str">
            <v>FHA</v>
          </cell>
          <cell r="H53" t="str">
            <v>SI</v>
          </cell>
          <cell r="I53" t="str">
            <v>SI</v>
          </cell>
          <cell r="J53" t="str">
            <v>APROBADO</v>
          </cell>
          <cell r="K53" t="str">
            <v>APROBADO</v>
          </cell>
          <cell r="L53" t="str">
            <v>CLIENTE RETAIL</v>
          </cell>
          <cell r="M53">
            <v>2</v>
          </cell>
          <cell r="N53" t="str">
            <v>APROBADA</v>
          </cell>
        </row>
        <row r="54">
          <cell r="F54">
            <v>320</v>
          </cell>
          <cell r="G54" t="str">
            <v>FHA</v>
          </cell>
          <cell r="H54" t="str">
            <v>SI</v>
          </cell>
          <cell r="I54" t="str">
            <v>SI</v>
          </cell>
          <cell r="J54" t="str">
            <v>APROBADO</v>
          </cell>
          <cell r="K54" t="str">
            <v>APROBADO</v>
          </cell>
          <cell r="L54" t="str">
            <v>CLIENTE RETAIL</v>
          </cell>
          <cell r="M54">
            <v>2</v>
          </cell>
          <cell r="N54" t="str">
            <v>APROBADA</v>
          </cell>
        </row>
        <row r="55">
          <cell r="F55">
            <v>401</v>
          </cell>
          <cell r="G55" t="str">
            <v>FHA</v>
          </cell>
          <cell r="H55" t="str">
            <v>SI</v>
          </cell>
          <cell r="I55" t="str">
            <v>SI</v>
          </cell>
          <cell r="J55" t="str">
            <v>APROBADO</v>
          </cell>
          <cell r="K55" t="str">
            <v>A LA ESPERA</v>
          </cell>
          <cell r="L55" t="str">
            <v>CLIENTE RETAIL</v>
          </cell>
          <cell r="M55">
            <v>2</v>
          </cell>
          <cell r="N55" t="str">
            <v>APROBADA</v>
          </cell>
        </row>
        <row r="56">
          <cell r="F56">
            <v>402</v>
          </cell>
          <cell r="G56" t="str">
            <v>FHA</v>
          </cell>
          <cell r="H56" t="str">
            <v>SI</v>
          </cell>
          <cell r="I56" t="str">
            <v>SI</v>
          </cell>
          <cell r="J56" t="str">
            <v>A LA ESPERA</v>
          </cell>
          <cell r="K56" t="str">
            <v>APROBADO</v>
          </cell>
          <cell r="L56" t="str">
            <v>CLIENTE RETAIL</v>
          </cell>
          <cell r="M56">
            <v>2</v>
          </cell>
          <cell r="N56" t="str">
            <v>APROBADA</v>
          </cell>
        </row>
        <row r="57">
          <cell r="F57">
            <v>403</v>
          </cell>
          <cell r="M57">
            <v>4</v>
          </cell>
          <cell r="N57" t="str">
            <v>DISPONIBLE</v>
          </cell>
        </row>
        <row r="58">
          <cell r="F58">
            <v>404</v>
          </cell>
          <cell r="G58" t="str">
            <v>FHA</v>
          </cell>
          <cell r="H58" t="str">
            <v>SI</v>
          </cell>
          <cell r="I58" t="str">
            <v>SI</v>
          </cell>
          <cell r="J58" t="str">
            <v>APROBADO</v>
          </cell>
          <cell r="K58" t="str">
            <v>APROBADO</v>
          </cell>
          <cell r="L58" t="str">
            <v>CLIENTE RETAIL</v>
          </cell>
          <cell r="M58">
            <v>2</v>
          </cell>
          <cell r="N58" t="str">
            <v>APROBADA</v>
          </cell>
        </row>
        <row r="59">
          <cell r="F59">
            <v>405</v>
          </cell>
          <cell r="G59" t="str">
            <v>FHA</v>
          </cell>
          <cell r="L59" t="str">
            <v>CLIENTE RETAIL</v>
          </cell>
          <cell r="M59">
            <v>4</v>
          </cell>
          <cell r="N59" t="str">
            <v>APROBADA</v>
          </cell>
        </row>
        <row r="60">
          <cell r="F60">
            <v>406</v>
          </cell>
          <cell r="G60" t="str">
            <v>FHA</v>
          </cell>
          <cell r="H60" t="str">
            <v>SI</v>
          </cell>
          <cell r="I60" t="str">
            <v>SI</v>
          </cell>
          <cell r="J60" t="str">
            <v>APROBADO</v>
          </cell>
          <cell r="K60" t="str">
            <v>APROBADO</v>
          </cell>
          <cell r="L60" t="str">
            <v>CLIENTE RETAIL</v>
          </cell>
          <cell r="M60">
            <v>2</v>
          </cell>
          <cell r="N60" t="str">
            <v>APROBADA</v>
          </cell>
        </row>
        <row r="61">
          <cell r="F61">
            <v>407</v>
          </cell>
          <cell r="G61" t="str">
            <v>FHA</v>
          </cell>
          <cell r="L61" t="str">
            <v>CLIENTE RETAIL</v>
          </cell>
          <cell r="M61">
            <v>3</v>
          </cell>
          <cell r="N61" t="str">
            <v>APROBADA</v>
          </cell>
        </row>
        <row r="62">
          <cell r="F62">
            <v>408</v>
          </cell>
          <cell r="G62" t="str">
            <v>DIRECTO</v>
          </cell>
          <cell r="L62" t="str">
            <v>CLIENTE RETAIL</v>
          </cell>
          <cell r="M62">
            <v>2</v>
          </cell>
          <cell r="N62" t="str">
            <v>APROBADA</v>
          </cell>
        </row>
        <row r="63">
          <cell r="F63">
            <v>409</v>
          </cell>
          <cell r="G63" t="str">
            <v>FHA</v>
          </cell>
          <cell r="L63" t="str">
            <v>CLIENTE RETAIL</v>
          </cell>
          <cell r="M63">
            <v>2</v>
          </cell>
          <cell r="N63" t="str">
            <v>DENEGADA</v>
          </cell>
          <cell r="O63">
            <v>46048</v>
          </cell>
          <cell r="P63">
            <v>32</v>
          </cell>
          <cell r="Q63" t="str">
            <v>Cliente posee RCI del 81% (Extrafinan por Q171 mil, Crédito Prendario por Q138 mil, fid. Prendario por Q113 mil, y TCs por Q30 mil), se sugiere adicionar segundo deudor.</v>
          </cell>
        </row>
        <row r="64">
          <cell r="F64">
            <v>410</v>
          </cell>
          <cell r="G64" t="str">
            <v>FHA</v>
          </cell>
          <cell r="L64" t="str">
            <v>CLIENTE RETAIL</v>
          </cell>
          <cell r="M64">
            <v>3</v>
          </cell>
          <cell r="N64" t="str">
            <v>APROBADA</v>
          </cell>
        </row>
        <row r="65">
          <cell r="F65">
            <v>411</v>
          </cell>
          <cell r="G65" t="str">
            <v>FHA</v>
          </cell>
          <cell r="L65" t="str">
            <v>CLIENTE RETAIL</v>
          </cell>
          <cell r="M65">
            <v>4</v>
          </cell>
          <cell r="N65" t="str">
            <v>APROBADA</v>
          </cell>
        </row>
        <row r="66">
          <cell r="F66">
            <v>412</v>
          </cell>
          <cell r="G66" t="str">
            <v>FHA</v>
          </cell>
          <cell r="L66" t="str">
            <v>CLIENTE RETAIL</v>
          </cell>
          <cell r="M66">
            <v>4</v>
          </cell>
          <cell r="N66" t="str">
            <v>DENEGADA</v>
          </cell>
          <cell r="O66">
            <v>46048</v>
          </cell>
          <cell r="P66">
            <v>32</v>
          </cell>
          <cell r="Q66" t="str">
            <v>Cliente posee RCI del 55%, se sugiere aumentar ingresos a Q17 mil o adicionar un segundo deudor.</v>
          </cell>
        </row>
        <row r="67">
          <cell r="F67">
            <v>413</v>
          </cell>
          <cell r="G67" t="str">
            <v>FHA</v>
          </cell>
          <cell r="H67" t="str">
            <v>SI</v>
          </cell>
          <cell r="I67" t="str">
            <v>SI</v>
          </cell>
          <cell r="J67" t="str">
            <v>APROBADO</v>
          </cell>
          <cell r="K67" t="str">
            <v>APROBADO</v>
          </cell>
          <cell r="L67" t="str">
            <v>CLIENTE RETAIL</v>
          </cell>
          <cell r="M67">
            <v>2</v>
          </cell>
          <cell r="N67" t="str">
            <v>APROBADA</v>
          </cell>
        </row>
        <row r="68">
          <cell r="F68">
            <v>414</v>
          </cell>
          <cell r="G68" t="str">
            <v>DIRECTO</v>
          </cell>
          <cell r="L68" t="str">
            <v>CLIENTE RETAIL</v>
          </cell>
          <cell r="M68">
            <v>2</v>
          </cell>
          <cell r="N68" t="str">
            <v>APROBADA</v>
          </cell>
        </row>
        <row r="69">
          <cell r="F69">
            <v>415</v>
          </cell>
          <cell r="G69" t="str">
            <v>FHA</v>
          </cell>
          <cell r="L69" t="str">
            <v>CLIENTE RETAIL</v>
          </cell>
          <cell r="M69">
            <v>3</v>
          </cell>
          <cell r="N69" t="str">
            <v>APROBADA</v>
          </cell>
        </row>
        <row r="70">
          <cell r="F70">
            <v>416</v>
          </cell>
          <cell r="G70" t="str">
            <v>FHA</v>
          </cell>
          <cell r="L70" t="str">
            <v>CLIENTE RETAIL</v>
          </cell>
          <cell r="M70">
            <v>2</v>
          </cell>
          <cell r="N70" t="str">
            <v>APROBADA</v>
          </cell>
        </row>
        <row r="71">
          <cell r="F71">
            <v>417</v>
          </cell>
          <cell r="G71" t="str">
            <v>FHA</v>
          </cell>
          <cell r="H71" t="str">
            <v>SI</v>
          </cell>
          <cell r="I71" t="str">
            <v>SI</v>
          </cell>
          <cell r="J71" t="str">
            <v>APROBADO</v>
          </cell>
          <cell r="K71" t="str">
            <v>APROBADO</v>
          </cell>
          <cell r="L71" t="str">
            <v>CLIENTE RETAIL</v>
          </cell>
          <cell r="M71">
            <v>2</v>
          </cell>
          <cell r="N71" t="str">
            <v>APROBADA</v>
          </cell>
        </row>
        <row r="72">
          <cell r="F72">
            <v>418</v>
          </cell>
          <cell r="G72" t="str">
            <v>FHA</v>
          </cell>
          <cell r="L72" t="str">
            <v>CLIENTE RETAIL</v>
          </cell>
          <cell r="M72">
            <v>2</v>
          </cell>
          <cell r="N72" t="str">
            <v>APROBADA</v>
          </cell>
        </row>
        <row r="73">
          <cell r="F73">
            <v>419</v>
          </cell>
          <cell r="G73" t="str">
            <v>DIRECTO</v>
          </cell>
          <cell r="H73" t="str">
            <v>SI</v>
          </cell>
          <cell r="I73" t="str">
            <v>SI</v>
          </cell>
          <cell r="J73" t="str">
            <v>N/A</v>
          </cell>
          <cell r="K73" t="str">
            <v>APROBADO</v>
          </cell>
          <cell r="L73" t="str">
            <v>CLIENTE RETAIL</v>
          </cell>
          <cell r="M73">
            <v>2</v>
          </cell>
          <cell r="N73" t="str">
            <v>APROBADA</v>
          </cell>
        </row>
        <row r="74">
          <cell r="F74">
            <v>420</v>
          </cell>
          <cell r="G74" t="str">
            <v>FHA</v>
          </cell>
          <cell r="H74" t="str">
            <v>SI</v>
          </cell>
          <cell r="I74" t="str">
            <v>SI</v>
          </cell>
          <cell r="J74" t="str">
            <v>APROBADO</v>
          </cell>
          <cell r="K74" t="str">
            <v>APROBADO</v>
          </cell>
          <cell r="L74" t="str">
            <v>CLIENTE RETAIL</v>
          </cell>
          <cell r="M74">
            <v>2</v>
          </cell>
          <cell r="N74" t="str">
            <v>APROBADA</v>
          </cell>
        </row>
        <row r="75">
          <cell r="F75">
            <v>501</v>
          </cell>
          <cell r="G75" t="str">
            <v>FHA</v>
          </cell>
          <cell r="L75" t="str">
            <v>CLIENTE RETAIL</v>
          </cell>
          <cell r="M75">
            <v>2</v>
          </cell>
          <cell r="N75" t="str">
            <v>APROBADA</v>
          </cell>
        </row>
        <row r="76">
          <cell r="F76">
            <v>502</v>
          </cell>
          <cell r="G76" t="str">
            <v>FHA</v>
          </cell>
          <cell r="H76" t="str">
            <v>SI</v>
          </cell>
          <cell r="I76" t="str">
            <v>SI</v>
          </cell>
          <cell r="J76" t="str">
            <v>SUSPENDIDO</v>
          </cell>
          <cell r="K76" t="str">
            <v>DENEGADO</v>
          </cell>
          <cell r="L76" t="str">
            <v>CLIENTE RETAIL</v>
          </cell>
          <cell r="M76">
            <v>3</v>
          </cell>
          <cell r="N76" t="str">
            <v>DENEGADA</v>
          </cell>
          <cell r="O76">
            <v>46048</v>
          </cell>
          <cell r="P76">
            <v>32</v>
          </cell>
        </row>
        <row r="77">
          <cell r="F77">
            <v>503</v>
          </cell>
          <cell r="G77" t="str">
            <v>FHA</v>
          </cell>
          <cell r="L77" t="str">
            <v>CLIENTE RETAIL</v>
          </cell>
          <cell r="M77">
            <v>2</v>
          </cell>
          <cell r="N77" t="str">
            <v>APROBADA</v>
          </cell>
        </row>
        <row r="78">
          <cell r="F78">
            <v>504</v>
          </cell>
          <cell r="G78" t="str">
            <v>FHA</v>
          </cell>
          <cell r="H78" t="str">
            <v>SI</v>
          </cell>
          <cell r="I78" t="str">
            <v>SI</v>
          </cell>
          <cell r="J78" t="str">
            <v>APROBADO</v>
          </cell>
          <cell r="K78" t="str">
            <v>APROBADO</v>
          </cell>
          <cell r="L78" t="str">
            <v>CLIENTE RETAIL</v>
          </cell>
          <cell r="M78">
            <v>2</v>
          </cell>
          <cell r="N78" t="str">
            <v>APROBADA</v>
          </cell>
        </row>
        <row r="79">
          <cell r="F79">
            <v>505</v>
          </cell>
          <cell r="G79" t="str">
            <v>FHA</v>
          </cell>
          <cell r="L79" t="str">
            <v>CLIENTE RETAIL</v>
          </cell>
          <cell r="M79">
            <v>2</v>
          </cell>
          <cell r="N79" t="str">
            <v>APROBADA</v>
          </cell>
        </row>
        <row r="80">
          <cell r="F80">
            <v>506</v>
          </cell>
          <cell r="G80" t="str">
            <v>FHA</v>
          </cell>
          <cell r="H80" t="str">
            <v>SI</v>
          </cell>
          <cell r="I80" t="str">
            <v>SI</v>
          </cell>
          <cell r="J80" t="str">
            <v>SUSPENDIDO</v>
          </cell>
          <cell r="K80" t="str">
            <v>DENEGADO</v>
          </cell>
          <cell r="L80" t="str">
            <v>CLIENTE RETAIL</v>
          </cell>
          <cell r="M80">
            <v>2</v>
          </cell>
          <cell r="N80" t="str">
            <v>DENEGADA</v>
          </cell>
          <cell r="O80">
            <v>46048</v>
          </cell>
          <cell r="P80">
            <v>32</v>
          </cell>
          <cell r="Q80" t="str">
            <v>Cliente posee RCI del 60%, se sugiere aumentar ingresos, cancelar tarjetas de crédito o adicionar un segundo deudor.</v>
          </cell>
        </row>
        <row r="81">
          <cell r="F81">
            <v>507</v>
          </cell>
          <cell r="G81" t="str">
            <v>DIRECTO</v>
          </cell>
          <cell r="H81" t="str">
            <v>SI</v>
          </cell>
          <cell r="I81" t="str">
            <v>SI</v>
          </cell>
          <cell r="J81" t="str">
            <v>N/A</v>
          </cell>
          <cell r="K81" t="str">
            <v>APROBADO</v>
          </cell>
          <cell r="L81" t="str">
            <v>CLIENTE RETAIL</v>
          </cell>
          <cell r="M81">
            <v>2</v>
          </cell>
          <cell r="N81" t="str">
            <v>APROBADA</v>
          </cell>
        </row>
        <row r="82">
          <cell r="F82">
            <v>508</v>
          </cell>
          <cell r="G82" t="str">
            <v>FHA</v>
          </cell>
          <cell r="L82" t="str">
            <v>CLIENTE RETAIL</v>
          </cell>
          <cell r="M82">
            <v>2</v>
          </cell>
          <cell r="N82" t="str">
            <v>DENEGADA</v>
          </cell>
          <cell r="O82">
            <v>46048</v>
          </cell>
          <cell r="P82">
            <v>32</v>
          </cell>
          <cell r="Q82" t="str">
            <v>Clientes poseen RCI del 71% (Evelyn Samayoa dos prestamos prendario por Q206 mil y TC por Q37.5 mil. Liza Samayoa tiene TC con Q7mil)</v>
          </cell>
        </row>
        <row r="83">
          <cell r="F83">
            <v>509</v>
          </cell>
          <cell r="G83" t="str">
            <v>DIRECTO</v>
          </cell>
          <cell r="L83" t="str">
            <v>CLIENTE RETAIL</v>
          </cell>
          <cell r="M83">
            <v>2</v>
          </cell>
          <cell r="N83" t="str">
            <v>APROBADA</v>
          </cell>
          <cell r="Q83" t="str">
            <v>condicionada a que Anabella Alburez presente finiquito por calificación C de la SIB en febrero 2025.</v>
          </cell>
        </row>
        <row r="84">
          <cell r="F84">
            <v>510</v>
          </cell>
          <cell r="G84" t="str">
            <v>FHA</v>
          </cell>
          <cell r="H84" t="str">
            <v>SI</v>
          </cell>
          <cell r="I84" t="str">
            <v>SI</v>
          </cell>
          <cell r="J84" t="str">
            <v>APROBADO</v>
          </cell>
          <cell r="K84" t="str">
            <v>APROBADO</v>
          </cell>
          <cell r="L84" t="str">
            <v>CLIENTE RETAIL</v>
          </cell>
          <cell r="M84">
            <v>2</v>
          </cell>
          <cell r="N84" t="str">
            <v>APROBADA</v>
          </cell>
        </row>
        <row r="85">
          <cell r="F85">
            <v>511</v>
          </cell>
          <cell r="G85" t="str">
            <v>FHA</v>
          </cell>
          <cell r="L85" t="str">
            <v>CLIENTE RETAIL</v>
          </cell>
          <cell r="M85">
            <v>2</v>
          </cell>
          <cell r="N85" t="str">
            <v>DENEGADA</v>
          </cell>
          <cell r="O85">
            <v>46048</v>
          </cell>
          <cell r="P85">
            <v>32</v>
          </cell>
          <cell r="Q85" t="str">
            <v>Clientes poseen RCI del 73% (Hugo Roca posee crédito Hipotecario por Q424 mil y otro prendario por Q136 mil y TCs por Q67 mil) cancelar deudas.</v>
          </cell>
        </row>
        <row r="86">
          <cell r="F86">
            <v>512</v>
          </cell>
          <cell r="G86" t="str">
            <v>FHA</v>
          </cell>
          <cell r="L86" t="str">
            <v>CLIENTE RETAIL</v>
          </cell>
          <cell r="M86">
            <v>2</v>
          </cell>
          <cell r="N86" t="str">
            <v>APROBADA</v>
          </cell>
        </row>
        <row r="87">
          <cell r="F87">
            <v>513</v>
          </cell>
          <cell r="G87" t="str">
            <v>DIRECTO</v>
          </cell>
          <cell r="L87" t="str">
            <v>CLIENTE RETAIL</v>
          </cell>
          <cell r="M87">
            <v>2</v>
          </cell>
          <cell r="N87" t="str">
            <v>APROBADA</v>
          </cell>
        </row>
        <row r="88">
          <cell r="F88">
            <v>514</v>
          </cell>
          <cell r="G88" t="str">
            <v>FHA</v>
          </cell>
          <cell r="L88" t="str">
            <v>CLIENTE RETAIL</v>
          </cell>
          <cell r="M88">
            <v>2</v>
          </cell>
          <cell r="N88" t="str">
            <v>DENEGADA</v>
          </cell>
          <cell r="O88">
            <v>46048</v>
          </cell>
          <cell r="P88">
            <v>32</v>
          </cell>
          <cell r="Q88" t="str">
            <v>Cliente posee RCI superior al 100% (cuenta incobrable con Credomatic  por Q60 mil y saldos en TCs por Q87 mil), Se sugiere adicionar otro deudor y presentar finiquito.</v>
          </cell>
        </row>
        <row r="89">
          <cell r="F89">
            <v>515</v>
          </cell>
          <cell r="G89" t="str">
            <v>FHA</v>
          </cell>
          <cell r="H89" t="str">
            <v>SI</v>
          </cell>
          <cell r="I89" t="str">
            <v>SI</v>
          </cell>
          <cell r="J89" t="str">
            <v>APROBADO</v>
          </cell>
          <cell r="K89" t="str">
            <v>APROBADO</v>
          </cell>
          <cell r="L89" t="str">
            <v>CLIENTE RETAIL</v>
          </cell>
          <cell r="M89">
            <v>1</v>
          </cell>
          <cell r="N89" t="str">
            <v>APROBADA</v>
          </cell>
        </row>
        <row r="90">
          <cell r="F90">
            <v>516</v>
          </cell>
          <cell r="G90" t="str">
            <v>FHA</v>
          </cell>
          <cell r="H90" t="str">
            <v>SI</v>
          </cell>
          <cell r="I90" t="str">
            <v>SI</v>
          </cell>
          <cell r="J90" t="str">
            <v>APROBADO</v>
          </cell>
          <cell r="K90" t="str">
            <v>APROBADO</v>
          </cell>
          <cell r="L90" t="str">
            <v>CLIENTE RETAIL</v>
          </cell>
          <cell r="M90">
            <v>2</v>
          </cell>
          <cell r="N90" t="str">
            <v>APROBADA</v>
          </cell>
        </row>
        <row r="91">
          <cell r="F91">
            <v>517</v>
          </cell>
          <cell r="G91" t="str">
            <v>CONTADO</v>
          </cell>
          <cell r="H91" t="str">
            <v>SI</v>
          </cell>
          <cell r="I91" t="str">
            <v>N/A</v>
          </cell>
          <cell r="J91" t="str">
            <v>N/A</v>
          </cell>
          <cell r="K91" t="str">
            <v>N/A</v>
          </cell>
          <cell r="L91" t="str">
            <v>CLIENTE RETAIL</v>
          </cell>
          <cell r="M91">
            <v>2</v>
          </cell>
          <cell r="N91" t="str">
            <v>APROBADA</v>
          </cell>
        </row>
        <row r="92">
          <cell r="F92">
            <v>518</v>
          </cell>
          <cell r="G92" t="str">
            <v>FHA</v>
          </cell>
          <cell r="H92" t="str">
            <v>SI</v>
          </cell>
          <cell r="I92" t="str">
            <v>SI</v>
          </cell>
          <cell r="J92" t="str">
            <v>APROBADO</v>
          </cell>
          <cell r="K92" t="str">
            <v>APROBADO</v>
          </cell>
          <cell r="L92" t="str">
            <v>CLIENTE RETAIL</v>
          </cell>
          <cell r="M92">
            <v>2</v>
          </cell>
          <cell r="N92" t="str">
            <v>APROBADA</v>
          </cell>
        </row>
        <row r="93">
          <cell r="F93">
            <v>519</v>
          </cell>
          <cell r="G93" t="str">
            <v>FHA</v>
          </cell>
          <cell r="L93" t="str">
            <v>CLIENTE RETAIL</v>
          </cell>
          <cell r="M93">
            <v>2</v>
          </cell>
          <cell r="N93" t="str">
            <v>APROBADA</v>
          </cell>
        </row>
        <row r="94">
          <cell r="F94">
            <v>601</v>
          </cell>
          <cell r="G94" t="str">
            <v>FHA</v>
          </cell>
          <cell r="L94" t="str">
            <v>CLIENTE RETAIL</v>
          </cell>
          <cell r="M94">
            <v>2</v>
          </cell>
          <cell r="N94" t="str">
            <v>DENEGADA</v>
          </cell>
          <cell r="O94">
            <v>46048</v>
          </cell>
          <cell r="P94">
            <v>32</v>
          </cell>
          <cell r="Q94" t="str">
            <v>Cliente posee RCI del 54% (TC por Q9.6 mil), se sugiere adicionar otro deudor o cancelar la deuda de la TC.</v>
          </cell>
        </row>
        <row r="95">
          <cell r="F95">
            <v>602</v>
          </cell>
          <cell r="G95" t="str">
            <v>CONTADO</v>
          </cell>
          <cell r="H95" t="str">
            <v>SI</v>
          </cell>
          <cell r="I95" t="str">
            <v>N/A</v>
          </cell>
          <cell r="J95" t="str">
            <v>N/A</v>
          </cell>
          <cell r="K95" t="str">
            <v>N/A</v>
          </cell>
          <cell r="L95" t="str">
            <v>CLIENTE RETAIL</v>
          </cell>
          <cell r="M95">
            <v>3</v>
          </cell>
          <cell r="N95" t="str">
            <v>APROBADA</v>
          </cell>
        </row>
        <row r="96">
          <cell r="F96">
            <v>603</v>
          </cell>
          <cell r="G96" t="str">
            <v>FHA</v>
          </cell>
          <cell r="L96" t="str">
            <v>CLIENTE RETAIL</v>
          </cell>
          <cell r="M96">
            <v>2</v>
          </cell>
          <cell r="N96" t="str">
            <v>APROBADA</v>
          </cell>
          <cell r="Q96" t="str">
            <v>Se adiciona segundo deudor. Resultado aprobado.</v>
          </cell>
        </row>
        <row r="97">
          <cell r="F97">
            <v>604</v>
          </cell>
          <cell r="G97" t="str">
            <v>FHA</v>
          </cell>
          <cell r="L97" t="str">
            <v>CLIENTE RETAIL</v>
          </cell>
          <cell r="M97">
            <v>2</v>
          </cell>
          <cell r="N97" t="str">
            <v>APROBADA</v>
          </cell>
        </row>
        <row r="98">
          <cell r="F98">
            <v>605</v>
          </cell>
          <cell r="G98" t="str">
            <v>FHA</v>
          </cell>
          <cell r="L98" t="str">
            <v>CLIENTE RETAIL</v>
          </cell>
          <cell r="M98">
            <v>2</v>
          </cell>
          <cell r="N98" t="str">
            <v>APROBADA</v>
          </cell>
        </row>
        <row r="99">
          <cell r="F99">
            <v>606</v>
          </cell>
          <cell r="G99" t="str">
            <v>FHA</v>
          </cell>
          <cell r="L99" t="str">
            <v>CLIENTE RETAIL</v>
          </cell>
          <cell r="M99">
            <v>2</v>
          </cell>
          <cell r="N99" t="str">
            <v>APROBADA</v>
          </cell>
          <cell r="Q99" t="str">
            <v>Aprobada Condicionada, no aumentar su RCI</v>
          </cell>
        </row>
        <row r="100">
          <cell r="F100">
            <v>607</v>
          </cell>
          <cell r="G100" t="str">
            <v>DIRECTO</v>
          </cell>
          <cell r="L100" t="str">
            <v>CLIENTE RETAIL</v>
          </cell>
          <cell r="M100">
            <v>2</v>
          </cell>
          <cell r="N100" t="str">
            <v>DENEGADA</v>
          </cell>
          <cell r="O100">
            <v>46048</v>
          </cell>
          <cell r="P100">
            <v>32</v>
          </cell>
          <cell r="Q100" t="str">
            <v>Madlyn no posee NIT, Antony participando solo no tiene capacidad de pago.</v>
          </cell>
        </row>
        <row r="101">
          <cell r="F101">
            <v>608</v>
          </cell>
          <cell r="G101" t="str">
            <v>FHA</v>
          </cell>
          <cell r="L101" t="str">
            <v>CLIENTE RETAIL</v>
          </cell>
          <cell r="M101">
            <v>2</v>
          </cell>
          <cell r="N101" t="str">
            <v>APROBADA</v>
          </cell>
          <cell r="Q101" t="str">
            <v>Condicionada a que Alfonso Videche presente finiquito por calificación D de la SIB en junio 2025.</v>
          </cell>
        </row>
        <row r="102">
          <cell r="F102">
            <v>609</v>
          </cell>
          <cell r="G102" t="str">
            <v>FHA</v>
          </cell>
          <cell r="L102" t="str">
            <v>CLIENTE RETAIL</v>
          </cell>
          <cell r="M102">
            <v>2</v>
          </cell>
          <cell r="N102" t="str">
            <v>APROBADA</v>
          </cell>
        </row>
        <row r="103">
          <cell r="F103">
            <v>610</v>
          </cell>
          <cell r="G103" t="str">
            <v>DIRECTO</v>
          </cell>
          <cell r="H103" t="str">
            <v>SI</v>
          </cell>
          <cell r="I103" t="str">
            <v>SI</v>
          </cell>
          <cell r="J103" t="str">
            <v>N/A</v>
          </cell>
          <cell r="K103" t="str">
            <v>APROBADO</v>
          </cell>
          <cell r="L103" t="str">
            <v>CLIENTE RETAIL</v>
          </cell>
          <cell r="M103">
            <v>2</v>
          </cell>
          <cell r="N103" t="str">
            <v>APROBADA</v>
          </cell>
        </row>
        <row r="104">
          <cell r="F104">
            <v>611</v>
          </cell>
          <cell r="G104" t="str">
            <v>DIRECTO</v>
          </cell>
          <cell r="L104" t="str">
            <v>CLIENTE RETAIL</v>
          </cell>
          <cell r="M104">
            <v>2</v>
          </cell>
          <cell r="N104" t="str">
            <v>DENEGADA</v>
          </cell>
          <cell r="O104">
            <v>46048</v>
          </cell>
          <cell r="P104">
            <v>32</v>
          </cell>
          <cell r="Q104" t="str">
            <v>Cliente no posee NIT, guatemalteco en el Extranjero.</v>
          </cell>
        </row>
        <row r="105">
          <cell r="F105">
            <v>612</v>
          </cell>
          <cell r="G105" t="str">
            <v>FHA</v>
          </cell>
          <cell r="L105" t="str">
            <v>CLIENTE RETAIL</v>
          </cell>
          <cell r="M105">
            <v>3</v>
          </cell>
          <cell r="N105" t="str">
            <v>DENEGADA</v>
          </cell>
          <cell r="O105">
            <v>46048</v>
          </cell>
          <cell r="P105">
            <v>32</v>
          </cell>
          <cell r="Q105" t="str">
            <v>Cliente posee dos juicios, uno de Urgencia de providencia y otro tipo ejecutivo, ambos de la SAT. Adjuntar desistimientos.</v>
          </cell>
        </row>
        <row r="106">
          <cell r="F106">
            <v>613</v>
          </cell>
          <cell r="G106" t="str">
            <v>CONTADO</v>
          </cell>
          <cell r="L106" t="str">
            <v>CLIENTE RETAIL</v>
          </cell>
          <cell r="M106">
            <v>4</v>
          </cell>
          <cell r="N106" t="str">
            <v>APROBADA</v>
          </cell>
        </row>
        <row r="107">
          <cell r="F107">
            <v>614</v>
          </cell>
          <cell r="G107" t="str">
            <v>FHA</v>
          </cell>
          <cell r="H107" t="str">
            <v>SI</v>
          </cell>
          <cell r="L107" t="str">
            <v>CLIENTE RETAIL</v>
          </cell>
          <cell r="M107">
            <v>3</v>
          </cell>
          <cell r="N107" t="str">
            <v>DENEGADA</v>
          </cell>
          <cell r="O107">
            <v>46048</v>
          </cell>
          <cell r="P107">
            <v>32</v>
          </cell>
          <cell r="Q107" t="str">
            <v>Cliente posee RCI del 52% se sugiere incrementar ingresos o adicionar segundo deudor.</v>
          </cell>
        </row>
        <row r="108">
          <cell r="F108">
            <v>615</v>
          </cell>
          <cell r="L108" t="str">
            <v>F&amp;F</v>
          </cell>
          <cell r="M108">
            <v>1</v>
          </cell>
          <cell r="N108" t="str">
            <v>APROBADA</v>
          </cell>
        </row>
        <row r="109">
          <cell r="F109">
            <v>616</v>
          </cell>
          <cell r="G109" t="str">
            <v>FHA</v>
          </cell>
          <cell r="L109" t="str">
            <v>CLIENTE RETAIL</v>
          </cell>
          <cell r="M109">
            <v>2</v>
          </cell>
          <cell r="N109" t="str">
            <v>APROBADA</v>
          </cell>
        </row>
        <row r="110">
          <cell r="F110">
            <v>617</v>
          </cell>
          <cell r="G110" t="str">
            <v>DIRECTO</v>
          </cell>
          <cell r="L110" t="str">
            <v>CLIENTE RETAIL</v>
          </cell>
          <cell r="M110">
            <v>2</v>
          </cell>
          <cell r="N110" t="str">
            <v>APROBADA</v>
          </cell>
        </row>
        <row r="111">
          <cell r="F111">
            <v>618</v>
          </cell>
          <cell r="G111" t="str">
            <v>FHA</v>
          </cell>
          <cell r="L111" t="str">
            <v>CLIENTE RETAIL</v>
          </cell>
          <cell r="M111">
            <v>2</v>
          </cell>
          <cell r="N111" t="str">
            <v>APROBADA</v>
          </cell>
        </row>
        <row r="112">
          <cell r="F112">
            <v>619</v>
          </cell>
          <cell r="G112" t="str">
            <v>FHA</v>
          </cell>
          <cell r="L112" t="str">
            <v>CLIENTE RETAIL</v>
          </cell>
          <cell r="M112">
            <v>2</v>
          </cell>
          <cell r="N112" t="str">
            <v>APROBADA</v>
          </cell>
        </row>
        <row r="113">
          <cell r="F113">
            <v>701</v>
          </cell>
          <cell r="G113" t="str">
            <v>FHA</v>
          </cell>
          <cell r="L113" t="str">
            <v>CLIENTE RETAIL</v>
          </cell>
          <cell r="M113">
            <v>1</v>
          </cell>
          <cell r="N113" t="str">
            <v>APROBADA</v>
          </cell>
        </row>
        <row r="114">
          <cell r="F114">
            <v>702</v>
          </cell>
          <cell r="G114" t="str">
            <v>FHA</v>
          </cell>
          <cell r="L114" t="str">
            <v>CLIENTE RETAIL</v>
          </cell>
          <cell r="M114">
            <v>1</v>
          </cell>
          <cell r="N114" t="str">
            <v>DENEGADA</v>
          </cell>
          <cell r="Q114" t="str">
            <v>Cliente posee RCI del 55%, se sugieres incrementar ingresos o adicionar un segundo deudor.</v>
          </cell>
        </row>
        <row r="115">
          <cell r="F115">
            <v>703</v>
          </cell>
          <cell r="G115" t="str">
            <v>FHA</v>
          </cell>
          <cell r="L115" t="str">
            <v>CLIENTE RETAIL</v>
          </cell>
          <cell r="M115">
            <v>2</v>
          </cell>
          <cell r="N115" t="str">
            <v>APROBADA</v>
          </cell>
        </row>
        <row r="116">
          <cell r="F116">
            <v>704</v>
          </cell>
          <cell r="G116" t="str">
            <v>FHA</v>
          </cell>
          <cell r="L116" t="str">
            <v>CLIENTE RETAIL</v>
          </cell>
          <cell r="M116">
            <v>2</v>
          </cell>
          <cell r="N116" t="str">
            <v>DENEGADA</v>
          </cell>
          <cell r="Q116" t="str">
            <v>Clientes no poseen capacidad de pago, segunda solicitante únicamente aplica 60 meses de crédito.</v>
          </cell>
        </row>
        <row r="117">
          <cell r="F117">
            <v>705</v>
          </cell>
          <cell r="G117" t="str">
            <v>FHA</v>
          </cell>
          <cell r="L117" t="str">
            <v>CLIENTE RETAIL</v>
          </cell>
          <cell r="M117">
            <v>2</v>
          </cell>
          <cell r="N117" t="str">
            <v>DENEGADA</v>
          </cell>
          <cell r="Q117" t="str">
            <v>Cliente posee RCI del 55% (Crédito prendario Q273 mil y TC por Q33 mil) se sugiere adicionar otro deudor.</v>
          </cell>
        </row>
        <row r="118">
          <cell r="F118">
            <v>706</v>
          </cell>
          <cell r="G118" t="str">
            <v>FHA</v>
          </cell>
          <cell r="L118" t="str">
            <v>CLIENTE RETAIL</v>
          </cell>
          <cell r="M118">
            <v>2</v>
          </cell>
          <cell r="N118" t="str">
            <v>APROBADA</v>
          </cell>
        </row>
        <row r="119">
          <cell r="F119">
            <v>707</v>
          </cell>
          <cell r="G119" t="str">
            <v>FHA</v>
          </cell>
          <cell r="L119" t="str">
            <v>CLIENTE RETAIL</v>
          </cell>
          <cell r="M119">
            <v>2</v>
          </cell>
          <cell r="N119" t="str">
            <v>APROBADA</v>
          </cell>
        </row>
        <row r="120">
          <cell r="F120">
            <v>708</v>
          </cell>
          <cell r="G120" t="str">
            <v>FHA</v>
          </cell>
          <cell r="L120" t="str">
            <v>CLIENTE RETAIL</v>
          </cell>
          <cell r="M120">
            <v>2</v>
          </cell>
          <cell r="N120" t="str">
            <v>APROBADA</v>
          </cell>
        </row>
        <row r="121">
          <cell r="F121">
            <v>709</v>
          </cell>
          <cell r="G121" t="str">
            <v>CONTADO</v>
          </cell>
          <cell r="L121" t="str">
            <v>CLIENTE RETAIL</v>
          </cell>
          <cell r="M121">
            <v>4</v>
          </cell>
          <cell r="N121" t="str">
            <v>APROBADA</v>
          </cell>
        </row>
        <row r="122">
          <cell r="F122">
            <v>710</v>
          </cell>
          <cell r="L122" t="str">
            <v>F&amp;F</v>
          </cell>
          <cell r="M122">
            <v>2</v>
          </cell>
          <cell r="N122" t="str">
            <v>APROBADA</v>
          </cell>
        </row>
        <row r="123">
          <cell r="F123">
            <v>711</v>
          </cell>
          <cell r="G123" t="str">
            <v>CONTADO</v>
          </cell>
          <cell r="L123" t="str">
            <v>CLIENTE RETAIL</v>
          </cell>
          <cell r="M123">
            <v>2</v>
          </cell>
          <cell r="N123" t="str">
            <v>APROBADA</v>
          </cell>
        </row>
        <row r="124">
          <cell r="F124">
            <v>712</v>
          </cell>
          <cell r="G124" t="str">
            <v>FHA</v>
          </cell>
          <cell r="L124" t="str">
            <v>CLIENTE RETAIL</v>
          </cell>
          <cell r="M124">
            <v>1</v>
          </cell>
          <cell r="N124" t="str">
            <v>APROBADA</v>
          </cell>
        </row>
        <row r="125">
          <cell r="F125">
            <v>713</v>
          </cell>
          <cell r="G125" t="str">
            <v>POR CONFIRMAR</v>
          </cell>
          <cell r="L125" t="str">
            <v>CLIENTE RETAIL</v>
          </cell>
          <cell r="M125">
            <v>1</v>
          </cell>
          <cell r="N125" t="str">
            <v>APROBADA</v>
          </cell>
        </row>
        <row r="126">
          <cell r="F126">
            <v>714</v>
          </cell>
          <cell r="G126" t="str">
            <v>FHA</v>
          </cell>
          <cell r="L126" t="str">
            <v>CLIENTE RETAIL</v>
          </cell>
          <cell r="M126">
            <v>2</v>
          </cell>
          <cell r="N126" t="str">
            <v>DENEGADA</v>
          </cell>
          <cell r="Q126" t="str">
            <v xml:space="preserve">Cliente posee un RCI del 53% </v>
          </cell>
        </row>
        <row r="127">
          <cell r="F127">
            <v>715</v>
          </cell>
          <cell r="G127" t="str">
            <v>FHA</v>
          </cell>
          <cell r="L127" t="str">
            <v>CLIENTE RETAIL</v>
          </cell>
          <cell r="M127">
            <v>1</v>
          </cell>
          <cell r="N127" t="str">
            <v>DENEGADA</v>
          </cell>
          <cell r="Q127" t="str">
            <v>Cliente posee un RCI del 59% endeudamiento principal de: Prendario por Q341 mil, hipotecario Q197 mil y TCs por Q30 mil</v>
          </cell>
        </row>
        <row r="128">
          <cell r="F128">
            <v>716</v>
          </cell>
          <cell r="G128" t="str">
            <v>FHA</v>
          </cell>
          <cell r="L128" t="str">
            <v>CLIENTE RETAIL</v>
          </cell>
          <cell r="M128">
            <v>2</v>
          </cell>
          <cell r="N128" t="str">
            <v>APROBADA</v>
          </cell>
        </row>
        <row r="129">
          <cell r="F129">
            <v>717</v>
          </cell>
          <cell r="G129" t="str">
            <v>CONTADO</v>
          </cell>
          <cell r="H129" t="str">
            <v>SI</v>
          </cell>
          <cell r="I129" t="str">
            <v>N/A</v>
          </cell>
          <cell r="J129" t="str">
            <v>N/A</v>
          </cell>
          <cell r="K129" t="str">
            <v>N/A</v>
          </cell>
          <cell r="L129" t="str">
            <v>CLIENTE RETAIL</v>
          </cell>
          <cell r="M129">
            <v>2</v>
          </cell>
          <cell r="N129" t="str">
            <v>APROBADA</v>
          </cell>
        </row>
        <row r="130">
          <cell r="F130">
            <v>718</v>
          </cell>
          <cell r="G130" t="str">
            <v>FHA</v>
          </cell>
          <cell r="L130" t="str">
            <v>CLIENTE RETAIL</v>
          </cell>
          <cell r="M130">
            <v>3</v>
          </cell>
          <cell r="N130" t="str">
            <v>DENEGADA</v>
          </cell>
          <cell r="Q130" t="str">
            <v>Cliente posee un RCI del 58% (credito prendario por Q113 mil y un extrafinanciamiento por Q4mil) se recomienda adicionar otro deudor.</v>
          </cell>
        </row>
        <row r="131">
          <cell r="F131">
            <v>719</v>
          </cell>
          <cell r="L131" t="str">
            <v>F&amp;F</v>
          </cell>
          <cell r="M131">
            <v>2</v>
          </cell>
          <cell r="N131" t="str">
            <v>APROBADA</v>
          </cell>
        </row>
        <row r="132">
          <cell r="F132">
            <v>801</v>
          </cell>
          <cell r="G132" t="str">
            <v>CONTADO</v>
          </cell>
          <cell r="L132" t="str">
            <v>CLIENTE RETAIL</v>
          </cell>
          <cell r="M132">
            <v>2</v>
          </cell>
          <cell r="N132" t="str">
            <v>APROBADA</v>
          </cell>
        </row>
        <row r="133">
          <cell r="F133">
            <v>802</v>
          </cell>
          <cell r="G133" t="str">
            <v>FHA</v>
          </cell>
          <cell r="L133" t="str">
            <v>CLIENTE RETAIL</v>
          </cell>
          <cell r="M133">
            <v>1</v>
          </cell>
          <cell r="N133" t="str">
            <v>DENEGADA</v>
          </cell>
          <cell r="Q133" t="str">
            <v xml:space="preserve">Cliente posee un RCI del 100% (Crédito Hipotecario Fiduciario por Q16.8 millones y dos Hipotecarios por Q2.4 millones) </v>
          </cell>
        </row>
        <row r="134">
          <cell r="F134">
            <v>803</v>
          </cell>
          <cell r="G134" t="str">
            <v>FHA</v>
          </cell>
          <cell r="L134" t="str">
            <v>CLIENTE RETAIL</v>
          </cell>
          <cell r="M134">
            <v>1</v>
          </cell>
          <cell r="N134" t="str">
            <v>DENEGADA</v>
          </cell>
          <cell r="Q134" t="str">
            <v>Cliente posee un RCI del 75% (Hipotecario por Q664 mil, prendario por Q140 mil y TC´s por Q311 mil) Adicionar otro deudor o cancelar deudas</v>
          </cell>
        </row>
        <row r="135">
          <cell r="F135">
            <v>804</v>
          </cell>
          <cell r="G135" t="str">
            <v>POR CONFIRMAR</v>
          </cell>
          <cell r="L135" t="str">
            <v>CLIENTE RETAIL</v>
          </cell>
          <cell r="M135">
            <v>1</v>
          </cell>
          <cell r="N135" t="str">
            <v>APROBADA</v>
          </cell>
        </row>
        <row r="136">
          <cell r="F136">
            <v>805</v>
          </cell>
          <cell r="G136" t="str">
            <v>FHA</v>
          </cell>
          <cell r="L136" t="str">
            <v>CLIENTE RETAIL</v>
          </cell>
          <cell r="M136">
            <v>2</v>
          </cell>
          <cell r="N136" t="str">
            <v>APROBADA</v>
          </cell>
        </row>
        <row r="137">
          <cell r="F137">
            <v>806</v>
          </cell>
          <cell r="G137" t="str">
            <v>FHA</v>
          </cell>
          <cell r="L137" t="str">
            <v>CLIENTE RETAIL</v>
          </cell>
          <cell r="M137">
            <v>2</v>
          </cell>
          <cell r="N137" t="str">
            <v>DENEGADA</v>
          </cell>
          <cell r="Q137" t="str">
            <v>Cliente posee un RCI del 51% (Presentar desistimientos de jucios Municipalidad de San Miguel Petapa), verificar si tiene ingresos extras.</v>
          </cell>
        </row>
        <row r="138">
          <cell r="F138">
            <v>807</v>
          </cell>
          <cell r="G138" t="str">
            <v>FHA</v>
          </cell>
          <cell r="L138" t="str">
            <v>CLIENTE RETAIL</v>
          </cell>
          <cell r="M138">
            <v>2</v>
          </cell>
          <cell r="N138" t="str">
            <v>DENEGADA</v>
          </cell>
          <cell r="Q138" t="str">
            <v>Cliente posee un RCI superior al 100% (Hipotecario por Q783 mil y TCs por Q36 mil) adicionar otro deudor o cancelar deudas.</v>
          </cell>
        </row>
        <row r="139">
          <cell r="F139">
            <v>808</v>
          </cell>
          <cell r="G139" t="str">
            <v>FHA</v>
          </cell>
          <cell r="L139" t="str">
            <v>CLIENTE RETAIL</v>
          </cell>
          <cell r="M139">
            <v>2</v>
          </cell>
          <cell r="N139" t="str">
            <v>APROBADA</v>
          </cell>
        </row>
        <row r="140">
          <cell r="F140">
            <v>809</v>
          </cell>
          <cell r="G140" t="str">
            <v>POR CONFIRMAR</v>
          </cell>
          <cell r="L140" t="str">
            <v>CLIENTE RETAIL</v>
          </cell>
          <cell r="M140">
            <v>2</v>
          </cell>
          <cell r="N140" t="str">
            <v>APROBADA</v>
          </cell>
        </row>
        <row r="141">
          <cell r="F141">
            <v>810</v>
          </cell>
          <cell r="G141" t="str">
            <v>FHA</v>
          </cell>
          <cell r="L141" t="str">
            <v>CLIENTE RETAIL</v>
          </cell>
          <cell r="M141">
            <v>1</v>
          </cell>
          <cell r="N141" t="str">
            <v>DENEGADA</v>
          </cell>
          <cell r="Q141" t="str">
            <v>Clientes poseen un RCI del 51% (Wendy Barillas posee TC con Q150 mil) Incrementar ingresos o cancelar deuda</v>
          </cell>
        </row>
        <row r="142">
          <cell r="F142">
            <v>811</v>
          </cell>
          <cell r="G142" t="str">
            <v>CONTADO</v>
          </cell>
          <cell r="L142" t="str">
            <v>CLIENTE RETAIL</v>
          </cell>
          <cell r="M142">
            <v>2</v>
          </cell>
          <cell r="N142" t="str">
            <v>APROBADA</v>
          </cell>
        </row>
        <row r="143">
          <cell r="F143">
            <v>812</v>
          </cell>
          <cell r="G143" t="str">
            <v>POR CONFIRMAR</v>
          </cell>
          <cell r="L143" t="str">
            <v>CLIENTE RETAIL</v>
          </cell>
          <cell r="M143">
            <v>2</v>
          </cell>
          <cell r="N143" t="str">
            <v>APROBADA</v>
          </cell>
        </row>
        <row r="144">
          <cell r="F144">
            <v>813</v>
          </cell>
          <cell r="G144" t="str">
            <v>CONTADO</v>
          </cell>
          <cell r="L144" t="str">
            <v>CLIENTE RETAIL</v>
          </cell>
          <cell r="M144">
            <v>2</v>
          </cell>
          <cell r="N144" t="str">
            <v>APROBADA</v>
          </cell>
        </row>
        <row r="145">
          <cell r="F145">
            <v>814</v>
          </cell>
          <cell r="G145" t="str">
            <v>FHA</v>
          </cell>
          <cell r="L145" t="str">
            <v>CLIENTE RETAIL</v>
          </cell>
          <cell r="M145">
            <v>2</v>
          </cell>
          <cell r="N145" t="str">
            <v>DENEGADA</v>
          </cell>
          <cell r="Q145" t="str">
            <v>Clientes poseen un RCI del 68% (Enma Lopez crédito fiduciario por Q96 mil y TCs por Q119 mil, Joselin Tercero TCs por Q48.8 mil)</v>
          </cell>
        </row>
        <row r="146">
          <cell r="F146">
            <v>815</v>
          </cell>
          <cell r="G146" t="str">
            <v>POR CONFIRMAR</v>
          </cell>
          <cell r="L146" t="str">
            <v>CLIENTE RETAIL</v>
          </cell>
          <cell r="M146">
            <v>2</v>
          </cell>
          <cell r="N146" t="str">
            <v>APROBADA</v>
          </cell>
        </row>
        <row r="147">
          <cell r="F147">
            <v>816</v>
          </cell>
          <cell r="G147" t="str">
            <v>POR CONFIRMAR</v>
          </cell>
          <cell r="L147" t="str">
            <v>CLIENTE RETAIL</v>
          </cell>
          <cell r="M147">
            <v>1</v>
          </cell>
          <cell r="N147" t="str">
            <v>APROBADA</v>
          </cell>
        </row>
        <row r="148">
          <cell r="F148">
            <v>817</v>
          </cell>
          <cell r="G148" t="str">
            <v>FHA</v>
          </cell>
          <cell r="L148" t="str">
            <v>CLIENTE RETAIL</v>
          </cell>
          <cell r="M148">
            <v>1</v>
          </cell>
          <cell r="N148" t="str">
            <v>DENEGADA</v>
          </cell>
          <cell r="Q148" t="str">
            <v>Cliente posee un RCI del 75% (Credito hipotecario por Q905 mil y TCs por Q62 mil) se sugiere adicionar otro deudor.</v>
          </cell>
        </row>
        <row r="149">
          <cell r="F149">
            <v>818</v>
          </cell>
          <cell r="G149" t="str">
            <v>POR CONFIRMAR</v>
          </cell>
          <cell r="L149" t="str">
            <v>CLIENTE RETAIL</v>
          </cell>
          <cell r="M149">
            <v>2</v>
          </cell>
          <cell r="N149" t="str">
            <v>APROBADA</v>
          </cell>
        </row>
        <row r="150">
          <cell r="F150">
            <v>819</v>
          </cell>
          <cell r="G150" t="str">
            <v>POR CONFIRMAR</v>
          </cell>
          <cell r="L150" t="str">
            <v>CLIENTE RETAIL</v>
          </cell>
          <cell r="M150">
            <v>1</v>
          </cell>
          <cell r="N150" t="str">
            <v>APROBADA</v>
          </cell>
        </row>
        <row r="151">
          <cell r="F151">
            <v>820</v>
          </cell>
          <cell r="G151" t="str">
            <v>FHA</v>
          </cell>
          <cell r="L151" t="str">
            <v>CLIENTE RETAIL</v>
          </cell>
          <cell r="M151">
            <v>4</v>
          </cell>
          <cell r="N151" t="str">
            <v>APROBADA</v>
          </cell>
        </row>
        <row r="152">
          <cell r="F152">
            <v>901</v>
          </cell>
          <cell r="G152" t="str">
            <v>CONTADO</v>
          </cell>
          <cell r="L152" t="str">
            <v>INVERSIONISTA</v>
          </cell>
          <cell r="M152">
            <v>1</v>
          </cell>
          <cell r="N152" t="str">
            <v>N/A</v>
          </cell>
        </row>
        <row r="153">
          <cell r="F153">
            <v>902</v>
          </cell>
          <cell r="G153" t="str">
            <v>POR CONFIRMAR</v>
          </cell>
          <cell r="L153" t="str">
            <v>CLIENTE RETAIL</v>
          </cell>
          <cell r="M153">
            <v>2</v>
          </cell>
          <cell r="N153" t="str">
            <v>APROBADA</v>
          </cell>
        </row>
        <row r="154">
          <cell r="F154">
            <v>903</v>
          </cell>
          <cell r="G154" t="str">
            <v>POR CONFIRMAR</v>
          </cell>
          <cell r="L154" t="str">
            <v>CLIENTE RETAIL</v>
          </cell>
          <cell r="M154">
            <v>1</v>
          </cell>
          <cell r="N154" t="str">
            <v>APROBADA</v>
          </cell>
        </row>
        <row r="155">
          <cell r="F155">
            <v>904</v>
          </cell>
          <cell r="G155" t="str">
            <v>POR CONFIRMAR</v>
          </cell>
          <cell r="L155" t="str">
            <v>CLIENTE RETAIL</v>
          </cell>
          <cell r="M155">
            <v>1</v>
          </cell>
          <cell r="N155" t="str">
            <v>APROBADA</v>
          </cell>
        </row>
        <row r="156">
          <cell r="F156">
            <v>905</v>
          </cell>
          <cell r="G156" t="str">
            <v>DIRECTO</v>
          </cell>
          <cell r="L156" t="str">
            <v>CLIENTE RETAIL</v>
          </cell>
          <cell r="M156">
            <v>2</v>
          </cell>
          <cell r="N156" t="str">
            <v>APROBADA</v>
          </cell>
        </row>
        <row r="157">
          <cell r="F157">
            <v>906</v>
          </cell>
          <cell r="G157" t="str">
            <v>DIRECTO</v>
          </cell>
          <cell r="L157" t="str">
            <v>CLIENTE RETAIL</v>
          </cell>
          <cell r="M157">
            <v>4</v>
          </cell>
          <cell r="N157" t="str">
            <v>APROBADA</v>
          </cell>
        </row>
        <row r="158">
          <cell r="F158">
            <v>907</v>
          </cell>
          <cell r="L158" t="str">
            <v>CLIENTE RETAIL</v>
          </cell>
          <cell r="M158">
            <v>2</v>
          </cell>
          <cell r="N158" t="str">
            <v>APROBADA</v>
          </cell>
        </row>
        <row r="159">
          <cell r="F159">
            <v>908</v>
          </cell>
          <cell r="G159" t="str">
            <v>FHA</v>
          </cell>
          <cell r="L159" t="str">
            <v>CLIENTE RETAIL</v>
          </cell>
          <cell r="M159">
            <v>2</v>
          </cell>
          <cell r="N159" t="str">
            <v>DENEGADA</v>
          </cell>
          <cell r="Q159" t="str">
            <v>Cliente posee un RCI superior al 100% (TCs por Q528 mil)</v>
          </cell>
        </row>
        <row r="160">
          <cell r="F160">
            <v>909</v>
          </cell>
          <cell r="G160" t="str">
            <v>FHA</v>
          </cell>
          <cell r="L160" t="str">
            <v>CLIENTE RETAIL</v>
          </cell>
          <cell r="M160">
            <v>1</v>
          </cell>
          <cell r="N160" t="str">
            <v>DENEGADA</v>
          </cell>
          <cell r="Q160" t="str">
            <v>Cliente no posee NIT (Guatemalteco en el Extranjero)</v>
          </cell>
        </row>
        <row r="161">
          <cell r="F161">
            <v>910</v>
          </cell>
          <cell r="M161">
            <v>4</v>
          </cell>
          <cell r="N161" t="str">
            <v>DISPONIBLE</v>
          </cell>
        </row>
        <row r="162">
          <cell r="F162">
            <v>911</v>
          </cell>
          <cell r="L162" t="str">
            <v>CLIENTE RETAIL</v>
          </cell>
          <cell r="M162">
            <v>2</v>
          </cell>
          <cell r="N162" t="str">
            <v>APROBADA</v>
          </cell>
        </row>
        <row r="163">
          <cell r="F163">
            <v>912</v>
          </cell>
          <cell r="G163" t="str">
            <v>CONTADO</v>
          </cell>
          <cell r="L163" t="str">
            <v>INVERSIONISTA</v>
          </cell>
          <cell r="M163">
            <v>2</v>
          </cell>
          <cell r="N163" t="str">
            <v>N/A</v>
          </cell>
        </row>
        <row r="164">
          <cell r="F164">
            <v>913</v>
          </cell>
          <cell r="L164" t="str">
            <v>CLIENTE RETAIL</v>
          </cell>
          <cell r="M164">
            <v>2</v>
          </cell>
          <cell r="N164" t="str">
            <v>APROBADA</v>
          </cell>
        </row>
        <row r="165">
          <cell r="F165">
            <v>914</v>
          </cell>
          <cell r="G165" t="str">
            <v>FHA</v>
          </cell>
          <cell r="L165" t="str">
            <v>CLIENTE RETAIL</v>
          </cell>
          <cell r="M165">
            <v>2</v>
          </cell>
          <cell r="N165" t="str">
            <v>DENEGADA</v>
          </cell>
          <cell r="Q165" t="str">
            <v>Cliente posee un RCI superior al 100% (TCs por Q394 mil)</v>
          </cell>
        </row>
        <row r="166">
          <cell r="F166">
            <v>915</v>
          </cell>
          <cell r="G166" t="str">
            <v>FHA</v>
          </cell>
          <cell r="L166" t="str">
            <v>CLIENTE RETAIL</v>
          </cell>
          <cell r="M166">
            <v>2</v>
          </cell>
          <cell r="N166" t="str">
            <v>DENEGADA</v>
          </cell>
          <cell r="Q166" t="str">
            <v>Cliente posee un RCI del 53% (Credito Hipotecario Q787 mil y TCs por Q544 mil)</v>
          </cell>
        </row>
        <row r="167">
          <cell r="F167">
            <v>916</v>
          </cell>
          <cell r="L167" t="str">
            <v>CLIENTE RETAIL</v>
          </cell>
          <cell r="M167">
            <v>1</v>
          </cell>
          <cell r="N167" t="str">
            <v>APROBADA</v>
          </cell>
        </row>
        <row r="168">
          <cell r="F168">
            <v>917</v>
          </cell>
          <cell r="L168" t="str">
            <v>CLIENTE RETAIL</v>
          </cell>
          <cell r="M168">
            <v>1</v>
          </cell>
          <cell r="N168" t="str">
            <v>APROBADA</v>
          </cell>
        </row>
        <row r="169">
          <cell r="F169">
            <v>918</v>
          </cell>
          <cell r="G169" t="str">
            <v>FHA</v>
          </cell>
          <cell r="L169" t="str">
            <v>CLIENTE RETAIL</v>
          </cell>
          <cell r="M169">
            <v>1</v>
          </cell>
          <cell r="N169" t="str">
            <v>DENEGADA</v>
          </cell>
          <cell r="Q169" t="str">
            <v>Cliente posee un RCI superior al 100% (Hipotecario por Q513 mil y TCs por Q207 mil)</v>
          </cell>
        </row>
        <row r="170">
          <cell r="F170">
            <v>919</v>
          </cell>
          <cell r="G170" t="str">
            <v>FHA</v>
          </cell>
          <cell r="L170" t="str">
            <v>CLIENTE RETAIL</v>
          </cell>
          <cell r="M170">
            <v>1</v>
          </cell>
          <cell r="N170" t="str">
            <v>DENEGADA</v>
          </cell>
          <cell r="Q170" t="str">
            <v>Cliente posee un RCI superior al 100% (TCs Q1.2 millones y credito hipotecario Q476 mil)</v>
          </cell>
        </row>
        <row r="171">
          <cell r="F171">
            <v>920</v>
          </cell>
          <cell r="G171" t="str">
            <v>CONTADO</v>
          </cell>
          <cell r="L171" t="str">
            <v>INVERSIONISTA</v>
          </cell>
          <cell r="M171">
            <v>2</v>
          </cell>
          <cell r="N171" t="str">
            <v>N/A</v>
          </cell>
        </row>
        <row r="172">
          <cell r="F172">
            <v>1001</v>
          </cell>
          <cell r="G172" t="str">
            <v>FHA</v>
          </cell>
          <cell r="L172" t="str">
            <v>CLIENTE RETAIL</v>
          </cell>
          <cell r="M172">
            <v>1</v>
          </cell>
          <cell r="N172" t="str">
            <v>DENEGADA</v>
          </cell>
          <cell r="Q172" t="str">
            <v>Cliente posee un RCI del 52% (TCs por Q45 mil) adicionar otro deudor, incrementar ingresos / enganche o cancelar deuda.</v>
          </cell>
        </row>
        <row r="173">
          <cell r="F173">
            <v>1002</v>
          </cell>
          <cell r="L173" t="str">
            <v>CLIENTE RETAIL</v>
          </cell>
          <cell r="M173">
            <v>1</v>
          </cell>
          <cell r="N173" t="str">
            <v>APROBADA</v>
          </cell>
        </row>
        <row r="174">
          <cell r="F174">
            <v>1003</v>
          </cell>
          <cell r="L174" t="str">
            <v>CLIENTE RETAIL</v>
          </cell>
          <cell r="M174">
            <v>1</v>
          </cell>
          <cell r="N174" t="str">
            <v>APROBADA</v>
          </cell>
        </row>
        <row r="175">
          <cell r="F175">
            <v>1004</v>
          </cell>
          <cell r="L175" t="str">
            <v>CLIENTE RETAIL</v>
          </cell>
          <cell r="M175">
            <v>1</v>
          </cell>
          <cell r="N175" t="str">
            <v>APROBADA</v>
          </cell>
        </row>
        <row r="176">
          <cell r="F176">
            <v>1005</v>
          </cell>
          <cell r="L176" t="str">
            <v>CLIENTE RETAIL</v>
          </cell>
          <cell r="M176">
            <v>1</v>
          </cell>
          <cell r="N176" t="str">
            <v>APROBADA</v>
          </cell>
        </row>
        <row r="177">
          <cell r="F177">
            <v>1006</v>
          </cell>
          <cell r="L177" t="str">
            <v>CLIENTE RETAIL</v>
          </cell>
          <cell r="M177">
            <v>2</v>
          </cell>
          <cell r="N177" t="str">
            <v>APROBADA</v>
          </cell>
        </row>
        <row r="178">
          <cell r="F178">
            <v>1007</v>
          </cell>
          <cell r="L178" t="str">
            <v>CLIENTE RETAIL</v>
          </cell>
          <cell r="M178">
            <v>2</v>
          </cell>
          <cell r="N178" t="str">
            <v>APROBADA</v>
          </cell>
        </row>
        <row r="179">
          <cell r="F179">
            <v>1008</v>
          </cell>
          <cell r="G179" t="str">
            <v>CONTADO</v>
          </cell>
          <cell r="L179" t="str">
            <v>INVERSIONISTA</v>
          </cell>
          <cell r="M179">
            <v>2</v>
          </cell>
          <cell r="N179" t="str">
            <v>N/A</v>
          </cell>
        </row>
        <row r="180">
          <cell r="F180">
            <v>1009</v>
          </cell>
          <cell r="L180" t="str">
            <v>CLIENTE RETAIL</v>
          </cell>
          <cell r="M180">
            <v>2</v>
          </cell>
          <cell r="N180" t="str">
            <v>APROBADA</v>
          </cell>
        </row>
        <row r="181">
          <cell r="F181">
            <v>1010</v>
          </cell>
          <cell r="L181" t="str">
            <v>CLIENTE RETAIL</v>
          </cell>
          <cell r="M181">
            <v>1</v>
          </cell>
          <cell r="N181" t="str">
            <v>APROBADA</v>
          </cell>
        </row>
        <row r="182">
          <cell r="F182">
            <v>1011</v>
          </cell>
          <cell r="G182" t="str">
            <v>FHA</v>
          </cell>
          <cell r="L182" t="str">
            <v>CLIENTE RETAIL</v>
          </cell>
          <cell r="M182">
            <v>1</v>
          </cell>
          <cell r="N182" t="str">
            <v>N/A</v>
          </cell>
        </row>
        <row r="183">
          <cell r="F183">
            <v>1012</v>
          </cell>
          <cell r="G183" t="str">
            <v>CONTADO</v>
          </cell>
          <cell r="L183" t="str">
            <v>INVERSIONISTA</v>
          </cell>
          <cell r="M183">
            <v>2</v>
          </cell>
          <cell r="N183" t="str">
            <v>N/A</v>
          </cell>
        </row>
        <row r="184">
          <cell r="F184">
            <v>1013</v>
          </cell>
          <cell r="L184" t="str">
            <v>CLIENTE RETAIL</v>
          </cell>
          <cell r="M184">
            <v>2</v>
          </cell>
          <cell r="N184" t="str">
            <v>APROBADA</v>
          </cell>
        </row>
        <row r="185">
          <cell r="F185">
            <v>1014</v>
          </cell>
          <cell r="G185" t="str">
            <v>FHA</v>
          </cell>
          <cell r="L185" t="str">
            <v>CLIENTE RETAIL</v>
          </cell>
          <cell r="M185">
            <v>1</v>
          </cell>
          <cell r="N185" t="str">
            <v>DENEGADA</v>
          </cell>
          <cell r="Q185" t="str">
            <v>Cliente posee un RCI superiror al 100% (3 creditos fiduciarios por Q800 mil y saldos vencidos en TC, adjuntar finiquito)</v>
          </cell>
        </row>
        <row r="186">
          <cell r="F186">
            <v>1015</v>
          </cell>
          <cell r="G186" t="str">
            <v>FHA</v>
          </cell>
          <cell r="L186" t="str">
            <v>CLIENTE RETAIL</v>
          </cell>
          <cell r="M186">
            <v>1</v>
          </cell>
          <cell r="N186" t="str">
            <v>DENEGADA</v>
          </cell>
          <cell r="Q186" t="str">
            <v>Cliente posee un RCI del 59% (Fiduciario por Q624 mil y TC por Q160 mil) adicionar otro deudor, incrementar ingresos / enganche o cancelar deuda.</v>
          </cell>
        </row>
        <row r="187">
          <cell r="F187">
            <v>1016</v>
          </cell>
          <cell r="G187" t="str">
            <v>FHA</v>
          </cell>
          <cell r="L187" t="str">
            <v>CLIENTE RETAIL</v>
          </cell>
          <cell r="M187">
            <v>1</v>
          </cell>
          <cell r="N187" t="str">
            <v>DENEGADA</v>
          </cell>
          <cell r="Q187" t="str">
            <v>Cliente posee un RCI del 51% (Creidtos Hipotecarios por Q2.3 millones y TCs por Q377 mil) Presentar contratos de arrendamiento, o bajar deuda.</v>
          </cell>
        </row>
        <row r="188">
          <cell r="F188">
            <v>1017</v>
          </cell>
          <cell r="L188" t="str">
            <v>CLIENTE RETAIL</v>
          </cell>
          <cell r="M188">
            <v>1</v>
          </cell>
          <cell r="N188" t="str">
            <v>APROBADA</v>
          </cell>
        </row>
        <row r="189">
          <cell r="F189">
            <v>1018</v>
          </cell>
          <cell r="L189" t="str">
            <v>CLIENTE RETAIL</v>
          </cell>
          <cell r="M189">
            <v>2</v>
          </cell>
          <cell r="N189" t="str">
            <v>APROBADA</v>
          </cell>
        </row>
        <row r="190">
          <cell r="F190">
            <v>1019</v>
          </cell>
          <cell r="G190" t="str">
            <v>FHA</v>
          </cell>
          <cell r="L190" t="str">
            <v>CLIENTE RETAIL</v>
          </cell>
          <cell r="M190">
            <v>3</v>
          </cell>
          <cell r="N190" t="str">
            <v>DENEGADA</v>
          </cell>
          <cell r="Q190" t="str">
            <v>Cliente posee un RCI del 65% (Fiduciario por Q90 mil y TC por Q32 mil) adicionar otro deudor.</v>
          </cell>
        </row>
        <row r="191">
          <cell r="F191">
            <v>1020</v>
          </cell>
          <cell r="L191" t="str">
            <v>CLIENTE RETAIL</v>
          </cell>
          <cell r="M191">
            <v>4</v>
          </cell>
          <cell r="N191" t="str">
            <v>APROBADA</v>
          </cell>
        </row>
        <row r="192">
          <cell r="F192">
            <v>1101</v>
          </cell>
          <cell r="L192" t="str">
            <v>CLIENTE RETAIL</v>
          </cell>
          <cell r="M192">
            <v>2</v>
          </cell>
          <cell r="N192" t="str">
            <v>APROBADA</v>
          </cell>
        </row>
        <row r="193">
          <cell r="F193">
            <v>1102</v>
          </cell>
          <cell r="G193" t="str">
            <v>FHA</v>
          </cell>
          <cell r="L193" t="str">
            <v>CLIENTE RETAIL</v>
          </cell>
          <cell r="M193">
            <v>1</v>
          </cell>
          <cell r="N193" t="str">
            <v>DENEGADA</v>
          </cell>
          <cell r="Q193" t="str">
            <v>Cliente posee un RCI del 58% (TC por Q87 mil) adicionar otro deudor.</v>
          </cell>
        </row>
        <row r="194">
          <cell r="F194">
            <v>1103</v>
          </cell>
          <cell r="L194" t="str">
            <v>CLIENTE RETAIL</v>
          </cell>
          <cell r="M194">
            <v>1</v>
          </cell>
          <cell r="N194" t="str">
            <v>APROBADA</v>
          </cell>
        </row>
        <row r="195">
          <cell r="F195">
            <v>1104</v>
          </cell>
          <cell r="L195" t="str">
            <v>CLIENTE RETAIL</v>
          </cell>
          <cell r="M195">
            <v>2</v>
          </cell>
          <cell r="N195" t="str">
            <v>APROBADA</v>
          </cell>
        </row>
        <row r="196">
          <cell r="F196">
            <v>1105</v>
          </cell>
          <cell r="L196" t="str">
            <v>CLIENTE RETAIL</v>
          </cell>
          <cell r="M196">
            <v>1</v>
          </cell>
          <cell r="N196" t="str">
            <v>APROBADA</v>
          </cell>
        </row>
        <row r="197">
          <cell r="F197">
            <v>1106</v>
          </cell>
          <cell r="L197" t="str">
            <v>CLIENTE RETAIL</v>
          </cell>
          <cell r="M197">
            <v>1</v>
          </cell>
          <cell r="N197" t="str">
            <v>APROBADA</v>
          </cell>
        </row>
        <row r="198">
          <cell r="F198">
            <v>1107</v>
          </cell>
          <cell r="G198" t="str">
            <v>CONTADO</v>
          </cell>
          <cell r="L198" t="str">
            <v>INVERSIONISTA</v>
          </cell>
          <cell r="M198">
            <v>2</v>
          </cell>
          <cell r="N198" t="str">
            <v>N/A</v>
          </cell>
        </row>
        <row r="199">
          <cell r="F199">
            <v>1108</v>
          </cell>
          <cell r="G199" t="str">
            <v>FHA</v>
          </cell>
          <cell r="L199" t="str">
            <v>CLIENTE RETAIL</v>
          </cell>
          <cell r="M199">
            <v>1</v>
          </cell>
          <cell r="N199" t="str">
            <v>APROBADA</v>
          </cell>
        </row>
        <row r="200">
          <cell r="F200">
            <v>1109</v>
          </cell>
          <cell r="G200" t="str">
            <v>CONTADO</v>
          </cell>
          <cell r="L200" t="str">
            <v>CLIENTE RETAIL</v>
          </cell>
          <cell r="M200">
            <v>4</v>
          </cell>
          <cell r="N200" t="str">
            <v>APROBADA</v>
          </cell>
        </row>
        <row r="201">
          <cell r="F201">
            <v>1110</v>
          </cell>
          <cell r="G201" t="str">
            <v>FHA</v>
          </cell>
          <cell r="L201" t="str">
            <v>CLIENTE RETAIL</v>
          </cell>
          <cell r="M201">
            <v>1</v>
          </cell>
          <cell r="N201" t="str">
            <v>DENEGADA</v>
          </cell>
          <cell r="Q201" t="str">
            <v>Cliente posee un RCI superior al 100% (TCs por Q276 mil)</v>
          </cell>
        </row>
        <row r="202">
          <cell r="F202">
            <v>1111</v>
          </cell>
          <cell r="L202" t="str">
            <v>CLIENTE RETAIL</v>
          </cell>
          <cell r="M202">
            <v>2</v>
          </cell>
          <cell r="N202" t="str">
            <v>APROBADA</v>
          </cell>
        </row>
        <row r="203">
          <cell r="F203">
            <v>1112</v>
          </cell>
          <cell r="G203" t="str">
            <v>CONTADO</v>
          </cell>
          <cell r="H203" t="str">
            <v>SI</v>
          </cell>
          <cell r="I203" t="str">
            <v>N/A</v>
          </cell>
          <cell r="J203" t="str">
            <v>N/A</v>
          </cell>
          <cell r="K203" t="str">
            <v>N/A</v>
          </cell>
          <cell r="L203" t="str">
            <v>CLIENTE RETAIL</v>
          </cell>
          <cell r="M203">
            <v>1</v>
          </cell>
          <cell r="N203" t="str">
            <v>APROBADA</v>
          </cell>
        </row>
        <row r="204">
          <cell r="F204">
            <v>1113</v>
          </cell>
          <cell r="L204" t="str">
            <v>CLIENTE RETAIL</v>
          </cell>
          <cell r="M204">
            <v>1</v>
          </cell>
          <cell r="N204" t="str">
            <v>APROBADA</v>
          </cell>
        </row>
        <row r="205">
          <cell r="F205">
            <v>1114</v>
          </cell>
          <cell r="L205" t="str">
            <v>CLIENTE RETAIL</v>
          </cell>
          <cell r="M205">
            <v>2</v>
          </cell>
          <cell r="N205" t="str">
            <v>APROBADA</v>
          </cell>
        </row>
        <row r="206">
          <cell r="F206">
            <v>1115</v>
          </cell>
          <cell r="L206" t="str">
            <v>CLIENTE RETAIL</v>
          </cell>
          <cell r="M206">
            <v>2</v>
          </cell>
          <cell r="N206" t="str">
            <v>APROBADA</v>
          </cell>
        </row>
        <row r="207">
          <cell r="F207">
            <v>1116</v>
          </cell>
          <cell r="G207" t="str">
            <v>FHA</v>
          </cell>
          <cell r="L207" t="str">
            <v>CLIENTE RETAIL</v>
          </cell>
          <cell r="M207">
            <v>2</v>
          </cell>
          <cell r="N207" t="str">
            <v>DENEGADA</v>
          </cell>
          <cell r="Q207" t="str">
            <v>Segundo deudor categoría E en la SIB, adicional posee un cobro judicial en Banco Industrial</v>
          </cell>
        </row>
        <row r="208">
          <cell r="F208">
            <v>1117</v>
          </cell>
          <cell r="L208" t="str">
            <v>CLIENTE RETAIL</v>
          </cell>
          <cell r="M208">
            <v>2</v>
          </cell>
          <cell r="N208" t="str">
            <v>APROBADA</v>
          </cell>
        </row>
        <row r="209">
          <cell r="F209">
            <v>1118</v>
          </cell>
          <cell r="L209" t="str">
            <v>CLIENTE RETAIL</v>
          </cell>
          <cell r="M209">
            <v>2</v>
          </cell>
          <cell r="N209" t="str">
            <v>APROBADA</v>
          </cell>
        </row>
        <row r="210">
          <cell r="F210">
            <v>1201</v>
          </cell>
          <cell r="G210" t="str">
            <v>FHA</v>
          </cell>
          <cell r="L210" t="str">
            <v>CLIENTE RETAIL</v>
          </cell>
          <cell r="M210">
            <v>2</v>
          </cell>
          <cell r="N210" t="str">
            <v>DENEGADA</v>
          </cell>
          <cell r="Q210" t="str">
            <v>Cliente posee un RCI superior al 100% (TCs por Q318 mil y una cuenta incobrable por Q7 mil)</v>
          </cell>
        </row>
        <row r="211">
          <cell r="F211">
            <v>1202</v>
          </cell>
          <cell r="L211" t="str">
            <v>CLIENTE RETAIL</v>
          </cell>
          <cell r="M211">
            <v>2</v>
          </cell>
          <cell r="N211" t="str">
            <v>APROBADA</v>
          </cell>
        </row>
        <row r="212">
          <cell r="F212">
            <v>1203</v>
          </cell>
          <cell r="L212" t="str">
            <v>CLIENTE RETAIL</v>
          </cell>
          <cell r="M212">
            <v>2</v>
          </cell>
          <cell r="N212" t="str">
            <v>APROBADA</v>
          </cell>
        </row>
        <row r="213">
          <cell r="F213">
            <v>1204</v>
          </cell>
          <cell r="L213" t="str">
            <v>CLIENTE RETAIL</v>
          </cell>
          <cell r="M213">
            <v>2</v>
          </cell>
          <cell r="N213" t="str">
            <v>APROBADA</v>
          </cell>
        </row>
        <row r="214">
          <cell r="F214">
            <v>1205</v>
          </cell>
          <cell r="G214" t="str">
            <v>FHA</v>
          </cell>
          <cell r="L214" t="str">
            <v>CLIENTE RETAIL</v>
          </cell>
          <cell r="M214">
            <v>1</v>
          </cell>
          <cell r="N214" t="str">
            <v>DENEGADA</v>
          </cell>
          <cell r="Q214" t="str">
            <v>Cliente posee un RCI superior al 100% (Fiduciario por Q219mil y TCs por Q96mil)</v>
          </cell>
        </row>
        <row r="215">
          <cell r="F215">
            <v>1206</v>
          </cell>
          <cell r="G215" t="str">
            <v>POR CONFIRMAR</v>
          </cell>
          <cell r="L215" t="str">
            <v>CLIENTE RETAIL</v>
          </cell>
          <cell r="M215">
            <v>1</v>
          </cell>
          <cell r="N215" t="str">
            <v>APROBADA</v>
          </cell>
        </row>
        <row r="216">
          <cell r="F216">
            <v>1207</v>
          </cell>
          <cell r="G216" t="str">
            <v>CONTADO</v>
          </cell>
          <cell r="L216" t="str">
            <v>INVERSIONISTA</v>
          </cell>
          <cell r="M216">
            <v>1</v>
          </cell>
          <cell r="N216" t="str">
            <v>N/A</v>
          </cell>
        </row>
        <row r="217">
          <cell r="F217">
            <v>1208</v>
          </cell>
          <cell r="L217" t="str">
            <v>CLIENTE RETAIL</v>
          </cell>
          <cell r="M217">
            <v>1</v>
          </cell>
          <cell r="N217" t="str">
            <v>APROBADA</v>
          </cell>
        </row>
        <row r="218">
          <cell r="F218">
            <v>1209</v>
          </cell>
          <cell r="G218" t="str">
            <v>FHA</v>
          </cell>
          <cell r="L218" t="str">
            <v>CLIENTE RETAIL</v>
          </cell>
          <cell r="M218">
            <v>1</v>
          </cell>
          <cell r="N218" t="str">
            <v>DENEGADA</v>
          </cell>
          <cell r="Q218" t="str">
            <v>Cliente posee un RCI del 59% (TC por Q3.3 mil)</v>
          </cell>
        </row>
        <row r="219">
          <cell r="F219">
            <v>1210</v>
          </cell>
          <cell r="L219" t="str">
            <v>CLIENTE RETAIL</v>
          </cell>
          <cell r="M219">
            <v>1</v>
          </cell>
          <cell r="N219" t="str">
            <v>APROBADA</v>
          </cell>
        </row>
        <row r="220">
          <cell r="F220">
            <v>1211</v>
          </cell>
          <cell r="G220" t="str">
            <v>FHA</v>
          </cell>
          <cell r="H220" t="str">
            <v>SI</v>
          </cell>
          <cell r="I220" t="str">
            <v>SI</v>
          </cell>
          <cell r="J220" t="str">
            <v>APROBADO</v>
          </cell>
          <cell r="K220" t="str">
            <v>APROBADO</v>
          </cell>
          <cell r="L220" t="str">
            <v>CLIENTE RETAIL</v>
          </cell>
          <cell r="M220">
            <v>2</v>
          </cell>
          <cell r="N220" t="str">
            <v>APROBADA</v>
          </cell>
        </row>
        <row r="221">
          <cell r="F221">
            <v>1212</v>
          </cell>
          <cell r="G221" t="str">
            <v>FHA</v>
          </cell>
          <cell r="L221" t="str">
            <v>CLIENTE RETAIL</v>
          </cell>
          <cell r="M221">
            <v>1</v>
          </cell>
          <cell r="N221" t="str">
            <v>DENEGADA</v>
          </cell>
          <cell r="Q221" t="str">
            <v>Cliente posee un RCI del 51% (Creidtos Hipotecarios por Q2.3 millones y TCs por Q377 mil) Presentar contratos de arrendamiento, o bajar deuda.</v>
          </cell>
        </row>
        <row r="222">
          <cell r="F222">
            <v>1213</v>
          </cell>
          <cell r="L222" t="str">
            <v>CLIENTE RETAIL</v>
          </cell>
          <cell r="M222">
            <v>1</v>
          </cell>
          <cell r="N222" t="str">
            <v>APROBADA</v>
          </cell>
        </row>
        <row r="223">
          <cell r="F223">
            <v>1214</v>
          </cell>
          <cell r="G223" t="str">
            <v>FHA</v>
          </cell>
          <cell r="L223" t="str">
            <v>CLIENTE RETAIL</v>
          </cell>
          <cell r="M223">
            <v>1</v>
          </cell>
          <cell r="N223" t="str">
            <v>DENEGADA</v>
          </cell>
          <cell r="Q223" t="str">
            <v>Cliente posee un RCI del 73% no registra Deuda en SIB, adicionar otro deudor</v>
          </cell>
        </row>
        <row r="224">
          <cell r="F224">
            <v>1215</v>
          </cell>
          <cell r="L224" t="str">
            <v>CLIENTE RETAIL</v>
          </cell>
          <cell r="M224">
            <v>1</v>
          </cell>
          <cell r="N224" t="str">
            <v>APROBADA</v>
          </cell>
        </row>
        <row r="225">
          <cell r="F225">
            <v>1216</v>
          </cell>
          <cell r="G225" t="str">
            <v>CONTADO</v>
          </cell>
          <cell r="H225" t="str">
            <v>SI</v>
          </cell>
          <cell r="I225" t="str">
            <v>N/A</v>
          </cell>
          <cell r="J225" t="str">
            <v>N/A</v>
          </cell>
          <cell r="K225" t="str">
            <v>N/A</v>
          </cell>
          <cell r="L225" t="str">
            <v>CLIENTE RETAIL</v>
          </cell>
          <cell r="M225">
            <v>3</v>
          </cell>
          <cell r="N225" t="str">
            <v>APROBADA</v>
          </cell>
        </row>
        <row r="226">
          <cell r="F226">
            <v>1217</v>
          </cell>
          <cell r="L226" t="str">
            <v>CLIENTE RETAIL</v>
          </cell>
          <cell r="M226">
            <v>2</v>
          </cell>
          <cell r="N226" t="str">
            <v>APROBADA</v>
          </cell>
        </row>
        <row r="227">
          <cell r="F227">
            <v>1218</v>
          </cell>
          <cell r="L227" t="str">
            <v>CLIENTE RETAIL</v>
          </cell>
          <cell r="M227">
            <v>2</v>
          </cell>
          <cell r="N227" t="str">
            <v>APROBADA</v>
          </cell>
        </row>
        <row r="228">
          <cell r="F228">
            <v>1301</v>
          </cell>
          <cell r="L228" t="str">
            <v>CLIENTE RETAIL</v>
          </cell>
          <cell r="M228">
            <v>2</v>
          </cell>
          <cell r="N228" t="str">
            <v>APROBADA</v>
          </cell>
        </row>
        <row r="229">
          <cell r="F229">
            <v>1302</v>
          </cell>
          <cell r="L229" t="str">
            <v>CLIENTE RETAIL</v>
          </cell>
          <cell r="M229">
            <v>2</v>
          </cell>
          <cell r="N229" t="str">
            <v>APROBADA</v>
          </cell>
          <cell r="Q229" t="str">
            <v>Presentar finiquitos</v>
          </cell>
        </row>
        <row r="230">
          <cell r="F230">
            <v>1303</v>
          </cell>
          <cell r="L230" t="str">
            <v>CLIENTE RETAIL</v>
          </cell>
          <cell r="M230">
            <v>2</v>
          </cell>
          <cell r="N230" t="str">
            <v>APROBADA</v>
          </cell>
        </row>
        <row r="231">
          <cell r="F231">
            <v>1304</v>
          </cell>
          <cell r="L231" t="str">
            <v>CLIENTE RETAIL</v>
          </cell>
          <cell r="M231">
            <v>2</v>
          </cell>
          <cell r="N231" t="str">
            <v>APROBADA</v>
          </cell>
        </row>
        <row r="232">
          <cell r="F232">
            <v>1305</v>
          </cell>
          <cell r="L232" t="str">
            <v>CLIENTE RETAIL</v>
          </cell>
          <cell r="M232">
            <v>2</v>
          </cell>
          <cell r="N232" t="str">
            <v>APROBADA</v>
          </cell>
        </row>
        <row r="233">
          <cell r="F233">
            <v>1306</v>
          </cell>
          <cell r="L233" t="str">
            <v>CLIENTE RETAIL</v>
          </cell>
          <cell r="M233">
            <v>1</v>
          </cell>
          <cell r="N233" t="str">
            <v>APROBADA</v>
          </cell>
        </row>
        <row r="234">
          <cell r="F234">
            <v>1307</v>
          </cell>
          <cell r="L234" t="str">
            <v>F&amp;F</v>
          </cell>
          <cell r="M234">
            <v>1</v>
          </cell>
          <cell r="N234" t="str">
            <v>APROBADA</v>
          </cell>
        </row>
        <row r="235">
          <cell r="F235">
            <v>1308</v>
          </cell>
          <cell r="L235" t="str">
            <v>CLIENTE RETAIL</v>
          </cell>
          <cell r="M235">
            <v>2</v>
          </cell>
          <cell r="N235" t="str">
            <v>APROBADA</v>
          </cell>
        </row>
        <row r="236">
          <cell r="F236">
            <v>1309</v>
          </cell>
          <cell r="M236">
            <v>4</v>
          </cell>
          <cell r="N236" t="str">
            <v>DISPONIBLE</v>
          </cell>
        </row>
        <row r="237">
          <cell r="F237">
            <v>1310</v>
          </cell>
          <cell r="L237" t="str">
            <v>CLIENTE RETAIL</v>
          </cell>
          <cell r="M237">
            <v>1</v>
          </cell>
          <cell r="N237" t="str">
            <v>APROBADA</v>
          </cell>
        </row>
        <row r="238">
          <cell r="F238">
            <v>1311</v>
          </cell>
          <cell r="L238" t="str">
            <v>CLIENTE RETAIL</v>
          </cell>
          <cell r="M238">
            <v>2</v>
          </cell>
          <cell r="N238" t="str">
            <v>APROBADA</v>
          </cell>
        </row>
        <row r="239">
          <cell r="F239">
            <v>1312</v>
          </cell>
          <cell r="L239" t="str">
            <v>CLIENTE RETAIL</v>
          </cell>
          <cell r="M239">
            <v>1</v>
          </cell>
          <cell r="N239" t="str">
            <v>APROBADA</v>
          </cell>
        </row>
        <row r="240">
          <cell r="F240">
            <v>1313</v>
          </cell>
          <cell r="L240" t="str">
            <v>CLIENTE RETAIL</v>
          </cell>
          <cell r="M240">
            <v>1</v>
          </cell>
          <cell r="N240" t="str">
            <v>APROBADA</v>
          </cell>
        </row>
        <row r="241">
          <cell r="F241">
            <v>1314</v>
          </cell>
          <cell r="L241" t="str">
            <v>CLIENTE RETAIL</v>
          </cell>
          <cell r="M241">
            <v>1</v>
          </cell>
          <cell r="N241" t="str">
            <v>APROBADA</v>
          </cell>
        </row>
        <row r="242">
          <cell r="F242">
            <v>1315</v>
          </cell>
          <cell r="G242" t="str">
            <v>CONTADO</v>
          </cell>
          <cell r="H242" t="str">
            <v>SI</v>
          </cell>
          <cell r="I242" t="str">
            <v>N/A</v>
          </cell>
          <cell r="J242" t="str">
            <v>N/A</v>
          </cell>
          <cell r="K242" t="str">
            <v>N/A</v>
          </cell>
          <cell r="L242" t="str">
            <v>CLIENTE RETAIL</v>
          </cell>
          <cell r="M242">
            <v>3</v>
          </cell>
          <cell r="N242" t="str">
            <v>APROBADA</v>
          </cell>
        </row>
        <row r="243">
          <cell r="F243">
            <v>1316</v>
          </cell>
          <cell r="L243" t="str">
            <v>CLIENTE RETAIL</v>
          </cell>
          <cell r="M243">
            <v>2</v>
          </cell>
          <cell r="N243" t="str">
            <v>APROBADA</v>
          </cell>
        </row>
        <row r="244">
          <cell r="F244">
            <v>1317</v>
          </cell>
          <cell r="L244" t="str">
            <v>CLIENTE RETAIL</v>
          </cell>
          <cell r="M244">
            <v>2</v>
          </cell>
          <cell r="N244" t="str">
            <v>APROBADA</v>
          </cell>
          <cell r="Q244" t="str">
            <v>Aristoteles Boror presentar desistimiento judicial o Finiquito</v>
          </cell>
        </row>
        <row r="245">
          <cell r="F245">
            <v>1318</v>
          </cell>
          <cell r="L245" t="str">
            <v>CLIENTE RETAIL</v>
          </cell>
          <cell r="M245">
            <v>4</v>
          </cell>
          <cell r="N245" t="str">
            <v>APROBADA</v>
          </cell>
        </row>
        <row r="246">
          <cell r="F246">
            <v>1401</v>
          </cell>
          <cell r="G246" t="str">
            <v>FHA</v>
          </cell>
          <cell r="L246" t="str">
            <v>CLIENTE RETAIL</v>
          </cell>
          <cell r="M246">
            <v>2</v>
          </cell>
          <cell r="N246" t="str">
            <v>DENEGADA</v>
          </cell>
          <cell r="Q246" t="str">
            <v>Cliente posee un RCI del 51%</v>
          </cell>
        </row>
        <row r="247">
          <cell r="F247">
            <v>1402</v>
          </cell>
          <cell r="L247" t="str">
            <v>CLIENTE RETAIL</v>
          </cell>
          <cell r="M247">
            <v>2</v>
          </cell>
          <cell r="N247" t="str">
            <v>APROBADA</v>
          </cell>
        </row>
        <row r="248">
          <cell r="F248">
            <v>1403</v>
          </cell>
          <cell r="L248" t="str">
            <v>F&amp;F</v>
          </cell>
          <cell r="M248">
            <v>1</v>
          </cell>
          <cell r="N248" t="str">
            <v>APROBADA</v>
          </cell>
        </row>
        <row r="249">
          <cell r="F249">
            <v>1404</v>
          </cell>
          <cell r="L249" t="str">
            <v>F&amp;F</v>
          </cell>
          <cell r="M249">
            <v>1</v>
          </cell>
          <cell r="N249" t="str">
            <v>DENEGADA</v>
          </cell>
          <cell r="Q249" t="str">
            <v>Cliente posee RCI superior al 100%</v>
          </cell>
        </row>
        <row r="250">
          <cell r="F250">
            <v>1405</v>
          </cell>
          <cell r="L250" t="str">
            <v>CLIENTE RETAIL</v>
          </cell>
          <cell r="M250">
            <v>1</v>
          </cell>
          <cell r="N250" t="str">
            <v>APROBADA</v>
          </cell>
        </row>
        <row r="251">
          <cell r="F251">
            <v>1406</v>
          </cell>
          <cell r="L251" t="str">
            <v>CLIENTE RETAIL</v>
          </cell>
          <cell r="M251">
            <v>1</v>
          </cell>
          <cell r="N251" t="str">
            <v>APROBADA</v>
          </cell>
        </row>
        <row r="252">
          <cell r="F252">
            <v>1407</v>
          </cell>
          <cell r="L252" t="str">
            <v>F&amp;F</v>
          </cell>
          <cell r="M252">
            <v>2</v>
          </cell>
          <cell r="N252" t="str">
            <v>APROBADA</v>
          </cell>
        </row>
        <row r="253">
          <cell r="F253">
            <v>1408</v>
          </cell>
          <cell r="M253">
            <v>4</v>
          </cell>
          <cell r="N253" t="str">
            <v>DISPONIBLE</v>
          </cell>
        </row>
        <row r="254">
          <cell r="F254">
            <v>1409</v>
          </cell>
          <cell r="G254" t="str">
            <v>CONTADO</v>
          </cell>
          <cell r="L254" t="str">
            <v>INVERSIONISTA</v>
          </cell>
          <cell r="M254">
            <v>2</v>
          </cell>
          <cell r="N254" t="str">
            <v>N/A</v>
          </cell>
        </row>
        <row r="255">
          <cell r="F255">
            <v>1410</v>
          </cell>
          <cell r="L255" t="str">
            <v>CLIENTE RETAIL</v>
          </cell>
          <cell r="M255">
            <v>2</v>
          </cell>
          <cell r="N255" t="str">
            <v>APROBADA</v>
          </cell>
        </row>
        <row r="256">
          <cell r="F256">
            <v>1411</v>
          </cell>
          <cell r="L256" t="str">
            <v>CLIENTE RETAIL</v>
          </cell>
          <cell r="M256">
            <v>1</v>
          </cell>
          <cell r="N256" t="str">
            <v>APROBADA</v>
          </cell>
        </row>
        <row r="257">
          <cell r="F257">
            <v>1412</v>
          </cell>
          <cell r="G257" t="str">
            <v>FHA</v>
          </cell>
          <cell r="L257" t="str">
            <v>CLIENTE RETAIL</v>
          </cell>
          <cell r="M257">
            <v>1</v>
          </cell>
          <cell r="N257" t="str">
            <v>DENEGADA</v>
          </cell>
          <cell r="Q257" t="str">
            <v>Cliente posee RCI del 93% (Adicionar otro deudor o cancelar deudas)</v>
          </cell>
        </row>
        <row r="258">
          <cell r="F258">
            <v>1501</v>
          </cell>
          <cell r="L258" t="str">
            <v>CLIENTE RETAIL</v>
          </cell>
          <cell r="M258">
            <v>4</v>
          </cell>
          <cell r="N258" t="str">
            <v>APROBADA</v>
          </cell>
        </row>
        <row r="259">
          <cell r="F259">
            <v>1502</v>
          </cell>
          <cell r="L259" t="str">
            <v>CLIENTE RETAIL</v>
          </cell>
          <cell r="M259">
            <v>2</v>
          </cell>
          <cell r="N259" t="str">
            <v>APROBADA</v>
          </cell>
        </row>
        <row r="260">
          <cell r="F260">
            <v>1503</v>
          </cell>
          <cell r="L260" t="str">
            <v>F&amp;F</v>
          </cell>
          <cell r="M260">
            <v>1</v>
          </cell>
          <cell r="N260" t="str">
            <v>APROBADA</v>
          </cell>
        </row>
        <row r="261">
          <cell r="F261">
            <v>1504</v>
          </cell>
          <cell r="L261" t="str">
            <v>CLIENTE RETAIL</v>
          </cell>
          <cell r="M261">
            <v>1</v>
          </cell>
          <cell r="N261" t="str">
            <v>APROBADA</v>
          </cell>
        </row>
        <row r="262">
          <cell r="F262">
            <v>1505</v>
          </cell>
          <cell r="G262" t="str">
            <v>FHA</v>
          </cell>
          <cell r="L262" t="str">
            <v>CLIENTE RETAIL</v>
          </cell>
          <cell r="M262">
            <v>2</v>
          </cell>
          <cell r="N262" t="str">
            <v>DENEGADA</v>
          </cell>
          <cell r="Q262" t="str">
            <v>Cliente posee un RCI del 59%</v>
          </cell>
        </row>
        <row r="263">
          <cell r="F263">
            <v>1506</v>
          </cell>
          <cell r="M263">
            <v>4</v>
          </cell>
          <cell r="N263" t="str">
            <v>DISPONIBLE</v>
          </cell>
        </row>
        <row r="264">
          <cell r="F264">
            <v>1507</v>
          </cell>
          <cell r="G264" t="str">
            <v>CONTADO</v>
          </cell>
          <cell r="L264" t="str">
            <v>INVERSIONISTA</v>
          </cell>
          <cell r="M264">
            <v>1</v>
          </cell>
          <cell r="N264" t="str">
            <v>N/A</v>
          </cell>
        </row>
        <row r="265">
          <cell r="F265">
            <v>1508</v>
          </cell>
          <cell r="G265" t="str">
            <v>CONTADO</v>
          </cell>
          <cell r="L265" t="str">
            <v>INVERSIONISTA</v>
          </cell>
          <cell r="M265">
            <v>1</v>
          </cell>
          <cell r="N265" t="str">
            <v>N/A</v>
          </cell>
        </row>
        <row r="266">
          <cell r="F266">
            <v>1509</v>
          </cell>
          <cell r="G266" t="str">
            <v>CONTADO</v>
          </cell>
          <cell r="H266" t="str">
            <v>SI</v>
          </cell>
          <cell r="I266" t="str">
            <v>N/A</v>
          </cell>
          <cell r="J266" t="str">
            <v>N/A</v>
          </cell>
          <cell r="K266" t="str">
            <v>N/A</v>
          </cell>
          <cell r="L266" t="str">
            <v>CLIENTE RETAIL</v>
          </cell>
          <cell r="M266">
            <v>3</v>
          </cell>
          <cell r="N266" t="str">
            <v>APROBADA</v>
          </cell>
        </row>
        <row r="267">
          <cell r="F267">
            <v>1510</v>
          </cell>
          <cell r="G267" t="str">
            <v>FHA</v>
          </cell>
          <cell r="L267" t="str">
            <v>CLIENTE RETAIL</v>
          </cell>
          <cell r="M267">
            <v>1</v>
          </cell>
          <cell r="N267" t="str">
            <v>DENEGADA</v>
          </cell>
          <cell r="Q267" t="str">
            <v>Cliente posee un RCI del 57%</v>
          </cell>
        </row>
        <row r="268">
          <cell r="F268">
            <v>1511</v>
          </cell>
          <cell r="G268" t="str">
            <v>FHA</v>
          </cell>
          <cell r="L268" t="str">
            <v>CLIENTE RETAIL</v>
          </cell>
          <cell r="M268">
            <v>2</v>
          </cell>
          <cell r="N268" t="str">
            <v>DENEGADA</v>
          </cell>
          <cell r="Q268" t="str">
            <v>Clientes poseen un RCI superior al 100% (Luis Fernando: Fiduciario por Q276 mil y TCs por Q23 mil. Cristian: Hipotecario por Q1.2 millones y TCs por Q123 mil)</v>
          </cell>
        </row>
        <row r="269">
          <cell r="F269">
            <v>1512</v>
          </cell>
          <cell r="M269">
            <v>4</v>
          </cell>
          <cell r="N269" t="str">
            <v>DISPONIBLE</v>
          </cell>
        </row>
        <row r="270">
          <cell r="F270">
            <v>1601</v>
          </cell>
          <cell r="G270" t="str">
            <v>FHA</v>
          </cell>
          <cell r="L270" t="str">
            <v>CLIENTE RETAIL</v>
          </cell>
          <cell r="M270">
            <v>2</v>
          </cell>
          <cell r="N270" t="str">
            <v>DENEGADA</v>
          </cell>
          <cell r="Q270" t="str">
            <v>Cliente posee un RCI del 51%</v>
          </cell>
        </row>
        <row r="271">
          <cell r="F271">
            <v>1602</v>
          </cell>
          <cell r="G271" t="str">
            <v>CONTADO</v>
          </cell>
          <cell r="L271" t="str">
            <v>INVERSIONISTA</v>
          </cell>
          <cell r="M271">
            <v>2</v>
          </cell>
          <cell r="N271" t="str">
            <v>N/A</v>
          </cell>
        </row>
        <row r="272">
          <cell r="F272">
            <v>1603</v>
          </cell>
          <cell r="G272" t="str">
            <v>CONTADO</v>
          </cell>
          <cell r="L272" t="str">
            <v>INVERSIONISTA</v>
          </cell>
          <cell r="M272">
            <v>1</v>
          </cell>
          <cell r="N272" t="str">
            <v>N/A</v>
          </cell>
        </row>
        <row r="273">
          <cell r="F273">
            <v>1604</v>
          </cell>
          <cell r="L273" t="str">
            <v>CLIENTE RETAIL</v>
          </cell>
          <cell r="M273">
            <v>1</v>
          </cell>
          <cell r="N273" t="str">
            <v>APROBADA</v>
          </cell>
        </row>
        <row r="274">
          <cell r="F274">
            <v>1605</v>
          </cell>
          <cell r="G274" t="str">
            <v>FHA</v>
          </cell>
          <cell r="L274" t="str">
            <v>CLIENTE RETAIL</v>
          </cell>
          <cell r="M274">
            <v>2</v>
          </cell>
          <cell r="N274" t="str">
            <v>APROBADA</v>
          </cell>
        </row>
        <row r="275">
          <cell r="F275">
            <v>1606</v>
          </cell>
          <cell r="M275">
            <v>4</v>
          </cell>
          <cell r="N275" t="str">
            <v>DISPONIBLE</v>
          </cell>
        </row>
        <row r="276">
          <cell r="F276">
            <v>1607</v>
          </cell>
          <cell r="G276" t="str">
            <v>CONTADO</v>
          </cell>
          <cell r="L276" t="str">
            <v>INVERSIONISTA</v>
          </cell>
          <cell r="M276">
            <v>2</v>
          </cell>
          <cell r="N276" t="str">
            <v>N/A</v>
          </cell>
        </row>
        <row r="277">
          <cell r="F277">
            <v>1608</v>
          </cell>
          <cell r="G277" t="str">
            <v>CONTADO</v>
          </cell>
          <cell r="L277" t="str">
            <v>INVERSIONISTA</v>
          </cell>
          <cell r="M277">
            <v>1</v>
          </cell>
          <cell r="N277" t="str">
            <v>N/A</v>
          </cell>
        </row>
        <row r="278">
          <cell r="F278">
            <v>1609</v>
          </cell>
          <cell r="G278" t="str">
            <v>FHA</v>
          </cell>
          <cell r="L278" t="str">
            <v>CLIENTE RETAIL</v>
          </cell>
          <cell r="M278">
            <v>1</v>
          </cell>
          <cell r="N278" t="str">
            <v>DENEGADA</v>
          </cell>
          <cell r="Q278" t="str">
            <v>Cliente es calificación B y C, presentar finiquito y  posee una cuenta en Cobro Judicial de Banco Industrial</v>
          </cell>
        </row>
        <row r="279">
          <cell r="F279">
            <v>1610</v>
          </cell>
          <cell r="G279" t="str">
            <v>CONTADO</v>
          </cell>
          <cell r="H279" t="str">
            <v>SI</v>
          </cell>
          <cell r="I279" t="str">
            <v>N/A</v>
          </cell>
          <cell r="J279" t="str">
            <v>N/A</v>
          </cell>
          <cell r="K279" t="str">
            <v>N/A</v>
          </cell>
          <cell r="L279" t="str">
            <v>CLIENTE RETAIL</v>
          </cell>
          <cell r="M279">
            <v>1</v>
          </cell>
          <cell r="N279" t="str">
            <v>APROBADA</v>
          </cell>
        </row>
        <row r="280">
          <cell r="F280">
            <v>1611</v>
          </cell>
          <cell r="L280" t="str">
            <v>CLIENTE RETAIL</v>
          </cell>
          <cell r="M280">
            <v>4</v>
          </cell>
          <cell r="N280" t="str">
            <v>APROBADA</v>
          </cell>
        </row>
        <row r="281">
          <cell r="F281">
            <v>1612</v>
          </cell>
          <cell r="M281">
            <v>4</v>
          </cell>
          <cell r="N281" t="str">
            <v>DISPONIBLE</v>
          </cell>
        </row>
        <row r="282">
          <cell r="F282">
            <v>1701</v>
          </cell>
          <cell r="G282" t="str">
            <v>FHA</v>
          </cell>
          <cell r="L282" t="str">
            <v>CLIENTE RETAIL</v>
          </cell>
          <cell r="M282">
            <v>1</v>
          </cell>
          <cell r="N282" t="str">
            <v>DENEGADA</v>
          </cell>
          <cell r="Q282" t="str">
            <v>Cliente posee RCI del 59% (Adicionar otro deudor)</v>
          </cell>
        </row>
        <row r="283">
          <cell r="F283">
            <v>1702</v>
          </cell>
          <cell r="G283" t="str">
            <v>FHA</v>
          </cell>
          <cell r="L283" t="str">
            <v>CLIENTE RETAIL</v>
          </cell>
          <cell r="M283">
            <v>1</v>
          </cell>
          <cell r="N283" t="str">
            <v>DENEGADA</v>
          </cell>
          <cell r="Q283" t="str">
            <v>Cliente posee RCI del 56% (Adicionar otro deudor)</v>
          </cell>
        </row>
        <row r="284">
          <cell r="F284">
            <v>1703</v>
          </cell>
          <cell r="G284" t="str">
            <v>FHA</v>
          </cell>
          <cell r="L284" t="str">
            <v>CLIENTE RETAIL</v>
          </cell>
          <cell r="M284">
            <v>2</v>
          </cell>
          <cell r="N284" t="str">
            <v>DENEGADA</v>
          </cell>
          <cell r="Q284" t="str">
            <v>Cliente posee RCI del 62% (TC por Q14 mil)</v>
          </cell>
        </row>
        <row r="285">
          <cell r="F285">
            <v>1704</v>
          </cell>
          <cell r="G285" t="str">
            <v>FHA</v>
          </cell>
          <cell r="L285" t="str">
            <v>CLIENTE RETAIL</v>
          </cell>
          <cell r="M285">
            <v>1</v>
          </cell>
          <cell r="N285" t="str">
            <v>DENEGADA</v>
          </cell>
          <cell r="Q285" t="str">
            <v>Cliente posee RCI del 93% (Adicionar otro deudor o cancelar deudas)</v>
          </cell>
        </row>
        <row r="286">
          <cell r="F286">
            <v>1705</v>
          </cell>
          <cell r="L286" t="str">
            <v>CLIENTE RETAIL</v>
          </cell>
          <cell r="M286">
            <v>2</v>
          </cell>
          <cell r="N286" t="str">
            <v>APROBADA</v>
          </cell>
        </row>
        <row r="287">
          <cell r="F287">
            <v>1706</v>
          </cell>
          <cell r="G287" t="str">
            <v>CONTADO</v>
          </cell>
          <cell r="L287" t="str">
            <v>INVERSIONISTA</v>
          </cell>
          <cell r="M287">
            <v>1</v>
          </cell>
          <cell r="N287" t="str">
            <v>N/A</v>
          </cell>
        </row>
        <row r="288">
          <cell r="F288">
            <v>1707</v>
          </cell>
          <cell r="L288" t="str">
            <v>F&amp;F</v>
          </cell>
          <cell r="M288">
            <v>2</v>
          </cell>
          <cell r="N288" t="str">
            <v>APROBADA</v>
          </cell>
        </row>
        <row r="289">
          <cell r="F289">
            <v>1708</v>
          </cell>
          <cell r="L289" t="str">
            <v>CLIENTE RETAIL</v>
          </cell>
          <cell r="M289">
            <v>3</v>
          </cell>
          <cell r="N289" t="str">
            <v>APROBADA</v>
          </cell>
        </row>
        <row r="290">
          <cell r="F290">
            <v>1801</v>
          </cell>
          <cell r="G290" t="str">
            <v>CONTADO</v>
          </cell>
          <cell r="L290" t="str">
            <v>INVERSIONISTA</v>
          </cell>
          <cell r="M290">
            <v>1</v>
          </cell>
          <cell r="N290" t="str">
            <v>N/A</v>
          </cell>
        </row>
        <row r="291">
          <cell r="F291">
            <v>1802</v>
          </cell>
          <cell r="L291" t="str">
            <v>CLIENTE RETAIL</v>
          </cell>
          <cell r="M291">
            <v>1</v>
          </cell>
          <cell r="N291" t="str">
            <v>APROBADA</v>
          </cell>
        </row>
        <row r="292">
          <cell r="F292">
            <v>1803</v>
          </cell>
          <cell r="G292" t="str">
            <v>DIRECTO</v>
          </cell>
          <cell r="L292" t="str">
            <v>CLIENTE RETAIL</v>
          </cell>
          <cell r="M292">
            <v>4</v>
          </cell>
          <cell r="N292" t="str">
            <v>APROBADA</v>
          </cell>
        </row>
        <row r="293">
          <cell r="F293">
            <v>1804</v>
          </cell>
          <cell r="G293" t="str">
            <v>FHA</v>
          </cell>
          <cell r="L293" t="str">
            <v>CLIENTE RETAIL</v>
          </cell>
          <cell r="M293">
            <v>1</v>
          </cell>
          <cell r="N293" t="str">
            <v>DENEGADA</v>
          </cell>
          <cell r="Q293" t="str">
            <v>Cliente posee un RCI del 59% endeudamiento principal de: Prendario por Q341 mil, hipotecario Q197 mil y TCs por Q30 mil</v>
          </cell>
        </row>
        <row r="294">
          <cell r="F294">
            <v>1805</v>
          </cell>
          <cell r="L294" t="str">
            <v>CLIENTE RETAIL</v>
          </cell>
          <cell r="M294">
            <v>4</v>
          </cell>
          <cell r="N294" t="str">
            <v>APROBADA</v>
          </cell>
        </row>
        <row r="295">
          <cell r="F295">
            <v>1806</v>
          </cell>
          <cell r="L295" t="str">
            <v>CLIENTE RETAIL</v>
          </cell>
          <cell r="M295">
            <v>1</v>
          </cell>
          <cell r="N295" t="str">
            <v>APROBADA</v>
          </cell>
        </row>
        <row r="296">
          <cell r="F296">
            <v>1807</v>
          </cell>
          <cell r="L296" t="str">
            <v>INVERSIONISTA</v>
          </cell>
          <cell r="M296">
            <v>1</v>
          </cell>
          <cell r="N296" t="str">
            <v>N/A</v>
          </cell>
        </row>
        <row r="297">
          <cell r="F297">
            <v>1808</v>
          </cell>
          <cell r="L297" t="str">
            <v>CLIENTE RETAIL</v>
          </cell>
          <cell r="M297">
            <v>2</v>
          </cell>
          <cell r="N297" t="str">
            <v>APROBADA</v>
          </cell>
        </row>
        <row r="298">
          <cell r="F298">
            <v>1901</v>
          </cell>
          <cell r="G298" t="str">
            <v>CONTADO</v>
          </cell>
          <cell r="L298" t="str">
            <v>INVERSIONISTA</v>
          </cell>
          <cell r="M298">
            <v>2</v>
          </cell>
          <cell r="N298" t="str">
            <v>N/A</v>
          </cell>
        </row>
        <row r="299">
          <cell r="F299">
            <v>1902</v>
          </cell>
          <cell r="G299" t="str">
            <v>CONTADO</v>
          </cell>
          <cell r="L299" t="str">
            <v>INVERSIONISTA</v>
          </cell>
          <cell r="M299">
            <v>2</v>
          </cell>
          <cell r="N299" t="str">
            <v>N/A</v>
          </cell>
        </row>
        <row r="300">
          <cell r="F300">
            <v>1903</v>
          </cell>
          <cell r="G300" t="str">
            <v>CONTADO</v>
          </cell>
          <cell r="L300" t="str">
            <v>INVERSIONISTA</v>
          </cell>
          <cell r="M300">
            <v>2</v>
          </cell>
          <cell r="N300" t="str">
            <v>N/A</v>
          </cell>
        </row>
        <row r="301">
          <cell r="F301">
            <v>1904</v>
          </cell>
          <cell r="G301" t="str">
            <v>CONTADO</v>
          </cell>
          <cell r="L301" t="str">
            <v>INVERSIONISTA</v>
          </cell>
          <cell r="M301">
            <v>2</v>
          </cell>
          <cell r="N301" t="str">
            <v>N/A</v>
          </cell>
        </row>
        <row r="302">
          <cell r="F302">
            <v>1905</v>
          </cell>
          <cell r="G302" t="str">
            <v>CONTADO</v>
          </cell>
          <cell r="L302" t="str">
            <v>INVERSIONISTA</v>
          </cell>
          <cell r="M302">
            <v>2</v>
          </cell>
          <cell r="N302" t="str">
            <v>N/A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lian Garcia Rosales" id="{EFBA0144-3A45-4C18-A161-473BB228404D}" userId="9155297c0ed3fceb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1" dT="2023-04-20T21:16:24.82" personId="{EFBA0144-3A45-4C18-A161-473BB228404D}" id="{41379B96-8AD2-47D7-947A-769DF534A4D5}">
    <text>Cliente se cambio del 110 al 112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F206-BD8B-4FBF-9DCB-16CB7DAB5744}">
  <dimension ref="A1:X201"/>
  <sheetViews>
    <sheetView showGridLines="0" tabSelected="1" zoomScale="85" zoomScaleNormal="85" workbookViewId="0">
      <pane xSplit="3" ySplit="1" topLeftCell="P2" activePane="bottomRight" state="frozen"/>
      <selection pane="topRight" activeCell="D1" sqref="D1"/>
      <selection pane="bottomLeft" activeCell="A2" sqref="A2"/>
      <selection pane="bottomRight" activeCell="W1" sqref="W1:W1048576"/>
    </sheetView>
  </sheetViews>
  <sheetFormatPr baseColWidth="10" defaultRowHeight="14.4" x14ac:dyDescent="0.3"/>
  <cols>
    <col min="1" max="1" width="34.44140625" style="39" customWidth="1"/>
    <col min="2" max="2" width="23.109375" style="53" bestFit="1" customWidth="1"/>
    <col min="3" max="3" width="21.5546875" style="53" customWidth="1"/>
    <col min="4" max="4" width="23.109375" style="52" customWidth="1"/>
    <col min="5" max="5" width="20.44140625" style="51" customWidth="1"/>
    <col min="6" max="6" width="22" style="51" customWidth="1"/>
    <col min="7" max="7" width="19.21875" style="51" customWidth="1"/>
    <col min="8" max="8" width="20.33203125" style="51" customWidth="1"/>
    <col min="9" max="9" width="18.21875" style="51" customWidth="1"/>
    <col min="10" max="10" width="17.88671875" style="51" customWidth="1"/>
    <col min="11" max="11" width="16.6640625" style="51" customWidth="1"/>
    <col min="12" max="12" width="16.21875" style="51" customWidth="1"/>
    <col min="13" max="13" width="20.77734375" style="51" customWidth="1"/>
    <col min="14" max="14" width="26.44140625" style="51" customWidth="1"/>
    <col min="15" max="15" width="20.21875" style="51" bestFit="1" customWidth="1"/>
    <col min="16" max="16" width="33" style="54" bestFit="1" customWidth="1"/>
    <col min="17" max="17" width="38.88671875" style="54" customWidth="1"/>
    <col min="18" max="19" width="24.6640625" style="55" customWidth="1"/>
    <col min="20" max="20" width="21.44140625" style="54" customWidth="1"/>
    <col min="21" max="21" width="17.44140625" style="56" customWidth="1"/>
    <col min="22" max="22" width="17.44140625" style="57" customWidth="1"/>
    <col min="23" max="23" width="22.109375" style="51" customWidth="1"/>
    <col min="24" max="24" width="136.6640625" style="58" customWidth="1"/>
    <col min="25" max="16384" width="11.5546875" style="24"/>
  </cols>
  <sheetData>
    <row r="1" spans="1:24" s="7" customFormat="1" ht="17.399999999999999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6" t="s">
        <v>21</v>
      </c>
      <c r="W1" s="4" t="s">
        <v>22</v>
      </c>
      <c r="X1" s="4" t="s">
        <v>23</v>
      </c>
    </row>
    <row r="2" spans="1:24" x14ac:dyDescent="0.3">
      <c r="A2" s="8" t="s">
        <v>24</v>
      </c>
      <c r="B2" s="8">
        <v>103</v>
      </c>
      <c r="C2" s="9" t="str">
        <f>VLOOKUP(B2,'[1]Matriz Precios A'!$B$3:$BN$301,2,FALSE)</f>
        <v>E1.1</v>
      </c>
      <c r="D2" s="10">
        <f>VLOOKUP(B2,'[1]Matriz Precios A'!$B$3:$BN$301,34,FALSE)</f>
        <v>1495800</v>
      </c>
      <c r="E2" s="11">
        <f>VLOOKUP(B2,'[1]Matriz Precios A'!$B$3:$BN$301,3,FALSE)</f>
        <v>73.94</v>
      </c>
      <c r="F2" s="11">
        <f>VLOOKUP(B2,'[1]Matriz Precios A'!$B$3:$BN$301,6,FALSE)</f>
        <v>17.45</v>
      </c>
      <c r="G2" s="12">
        <f>VLOOKUP(B2,'[1]Matriz Precios A'!$B$3:$BP$301,7,FALSE)</f>
        <v>0</v>
      </c>
      <c r="H2" s="13">
        <f t="shared" ref="H2:H65" si="0">IF(G2=1,12.5,0)</f>
        <v>0</v>
      </c>
      <c r="I2" s="13">
        <f>VLOOKUP(B2,'[1]Matriz Precios A'!$B$3:$BP$301,8,FALSE)</f>
        <v>1</v>
      </c>
      <c r="J2" s="11">
        <f t="shared" ref="J2:J65" si="1">IF(I2=1,25,0)</f>
        <v>25</v>
      </c>
      <c r="K2" s="13">
        <f t="shared" ref="K2:K65" si="2">IF(J2=25,5.3,0)</f>
        <v>5.3</v>
      </c>
      <c r="L2" s="11">
        <f t="shared" ref="L2:L65" si="3">E2+H2+J2+K2+F2</f>
        <v>121.69</v>
      </c>
      <c r="M2" s="14">
        <f>$H$201</f>
        <v>15392.061955469506</v>
      </c>
      <c r="N2" s="14">
        <f t="shared" ref="N2:N65" si="4">ROUNDUP(M2*L2,-2)</f>
        <v>1873100</v>
      </c>
      <c r="O2" s="14">
        <f t="shared" ref="O2:O65" si="5">N2-D2</f>
        <v>377300</v>
      </c>
      <c r="P2" s="15">
        <v>153320</v>
      </c>
      <c r="Q2" s="16">
        <f>VLOOKUP(B2,[2]Sheet1!$C$2:$D$299,2,FALSE)</f>
        <v>153320</v>
      </c>
      <c r="R2" s="17">
        <v>0</v>
      </c>
      <c r="S2" s="18">
        <f t="shared" ref="S2:S65" si="6">R2-Q2</f>
        <v>-153320</v>
      </c>
      <c r="T2" s="19">
        <f t="shared" ref="T2:T65" si="7">+R2-P2</f>
        <v>-153320</v>
      </c>
      <c r="U2" s="20" t="str">
        <f>IF(S2&lt;0,"ATRASADO", "AL DÍA")</f>
        <v>ATRASADO</v>
      </c>
      <c r="V2" s="21">
        <f>VLOOKUP(B2,'[3]Deal List'!$F$4:$Q$302,8,FALSE)</f>
        <v>2</v>
      </c>
      <c r="W2" s="22" t="str">
        <f>VLOOKUP(B2,'[3]Deal List'!$F$4:$Q$302,9,FALSE)</f>
        <v>N/A</v>
      </c>
      <c r="X2" s="23">
        <f>VLOOKUP(B2,'[3]Deal List'!$F$4:$Q$302,12,FALSE)</f>
        <v>0</v>
      </c>
    </row>
    <row r="3" spans="1:24" x14ac:dyDescent="0.3">
      <c r="A3" s="8" t="s">
        <v>24</v>
      </c>
      <c r="B3" s="25">
        <v>1905</v>
      </c>
      <c r="C3" s="9" t="str">
        <f>VLOOKUP(B3,'[1]Matriz Precios A'!$B$3:$BN$301,2,FALSE)</f>
        <v>D8</v>
      </c>
      <c r="D3" s="10">
        <f>VLOOKUP(B3,'[1]Matriz Precios A'!$B$3:$BN$301,34,FALSE)</f>
        <v>1331700</v>
      </c>
      <c r="E3" s="11">
        <f>VLOOKUP(B3,'[1]Matriz Precios A'!$B$3:$BN$301,3,FALSE)</f>
        <v>69.31</v>
      </c>
      <c r="F3" s="11">
        <v>0</v>
      </c>
      <c r="G3" s="12">
        <f>VLOOKUP(B3,'[1]Matriz Precios A'!$B$3:$BP$301,7,FALSE)</f>
        <v>0</v>
      </c>
      <c r="H3" s="13">
        <f t="shared" si="0"/>
        <v>0</v>
      </c>
      <c r="I3" s="13">
        <f>VLOOKUP(B3,'[1]Matriz Precios A'!$B$3:$BP$301,8,FALSE)</f>
        <v>1</v>
      </c>
      <c r="J3" s="11">
        <f t="shared" si="1"/>
        <v>25</v>
      </c>
      <c r="K3" s="13">
        <f t="shared" si="2"/>
        <v>5.3</v>
      </c>
      <c r="L3" s="11">
        <f t="shared" si="3"/>
        <v>99.61</v>
      </c>
      <c r="M3" s="14">
        <f>$H$200</f>
        <v>14696.813977389518</v>
      </c>
      <c r="N3" s="14">
        <f t="shared" si="4"/>
        <v>1464000</v>
      </c>
      <c r="O3" s="14">
        <f t="shared" si="5"/>
        <v>132300</v>
      </c>
      <c r="P3" s="15">
        <v>133170</v>
      </c>
      <c r="Q3" s="16">
        <f>VLOOKUP(B3,[2]Sheet1!$C$2:$D$299,2,FALSE)</f>
        <v>136500</v>
      </c>
      <c r="R3" s="17">
        <v>0</v>
      </c>
      <c r="S3" s="18">
        <f t="shared" si="6"/>
        <v>-136500</v>
      </c>
      <c r="T3" s="19">
        <f t="shared" si="7"/>
        <v>-133170</v>
      </c>
      <c r="U3" s="20" t="str">
        <f t="shared" ref="U3:U66" si="8">IF(S3&lt;0,"ATRASADO", "AL DÍA")</f>
        <v>ATRASADO</v>
      </c>
      <c r="V3" s="21">
        <f>VLOOKUP(B3,'[3]Deal List'!$F$4:$Q$302,8,FALSE)</f>
        <v>2</v>
      </c>
      <c r="W3" s="22" t="str">
        <f>VLOOKUP(B3,'[3]Deal List'!$F$4:$Q$302,9,FALSE)</f>
        <v>N/A</v>
      </c>
      <c r="X3" s="23">
        <f>VLOOKUP(B3,'[3]Deal List'!$F$4:$Q$302,12,FALSE)</f>
        <v>0</v>
      </c>
    </row>
    <row r="4" spans="1:24" x14ac:dyDescent="0.3">
      <c r="A4" s="8" t="s">
        <v>24</v>
      </c>
      <c r="B4" s="26">
        <v>1903</v>
      </c>
      <c r="C4" s="9" t="str">
        <f>VLOOKUP(B4,'[1]Matriz Precios A'!$B$3:$BN$301,2,FALSE)</f>
        <v>D6</v>
      </c>
      <c r="D4" s="10">
        <f>VLOOKUP(B4,'[1]Matriz Precios A'!$B$3:$BN$301,34,FALSE)</f>
        <v>1294100</v>
      </c>
      <c r="E4" s="11">
        <f>VLOOKUP(B4,'[1]Matriz Precios A'!$B$3:$BN$301,3,FALSE)</f>
        <v>66.73</v>
      </c>
      <c r="F4" s="11">
        <v>0</v>
      </c>
      <c r="G4" s="12">
        <f>VLOOKUP(B4,'[1]Matriz Precios A'!$B$3:$BP$301,7,FALSE)</f>
        <v>0</v>
      </c>
      <c r="H4" s="13">
        <f t="shared" si="0"/>
        <v>0</v>
      </c>
      <c r="I4" s="13">
        <f>VLOOKUP(B4,'[1]Matriz Precios A'!$B$3:$BP$301,8,FALSE)</f>
        <v>1</v>
      </c>
      <c r="J4" s="11">
        <f t="shared" si="1"/>
        <v>25</v>
      </c>
      <c r="K4" s="13">
        <f t="shared" si="2"/>
        <v>5.3</v>
      </c>
      <c r="L4" s="11">
        <f t="shared" si="3"/>
        <v>97.03</v>
      </c>
      <c r="M4" s="14">
        <f>$H$200</f>
        <v>14696.813977389518</v>
      </c>
      <c r="N4" s="14">
        <f t="shared" si="4"/>
        <v>1426100</v>
      </c>
      <c r="O4" s="14">
        <f t="shared" si="5"/>
        <v>132000</v>
      </c>
      <c r="P4" s="15">
        <v>129410</v>
      </c>
      <c r="Q4" s="16">
        <f>VLOOKUP(B4,[2]Sheet1!$C$2:$D$299,2,FALSE)</f>
        <v>132650</v>
      </c>
      <c r="R4" s="17">
        <v>0</v>
      </c>
      <c r="S4" s="18">
        <f t="shared" si="6"/>
        <v>-132650</v>
      </c>
      <c r="T4" s="19">
        <f t="shared" si="7"/>
        <v>-129410</v>
      </c>
      <c r="U4" s="20" t="str">
        <f t="shared" si="8"/>
        <v>ATRASADO</v>
      </c>
      <c r="V4" s="21">
        <f>VLOOKUP(B4,'[3]Deal List'!$F$4:$Q$302,8,FALSE)</f>
        <v>2</v>
      </c>
      <c r="W4" s="22" t="str">
        <f>VLOOKUP(B4,'[3]Deal List'!$F$4:$Q$302,9,FALSE)</f>
        <v>N/A</v>
      </c>
      <c r="X4" s="23">
        <f>VLOOKUP(B4,'[3]Deal List'!$F$4:$Q$302,12,FALSE)</f>
        <v>0</v>
      </c>
    </row>
    <row r="5" spans="1:24" x14ac:dyDescent="0.3">
      <c r="A5" s="27" t="s">
        <v>25</v>
      </c>
      <c r="B5" s="27">
        <v>1607</v>
      </c>
      <c r="C5" s="9" t="str">
        <f>VLOOKUP(B5,'[1]Matriz Precios A'!$B$3:$BN$301,2,FALSE)</f>
        <v>C9</v>
      </c>
      <c r="D5" s="10">
        <f>VLOOKUP(B5,'[1]Matriz Precios A'!$B$3:$BN$301,34,FALSE)</f>
        <v>1164200</v>
      </c>
      <c r="E5" s="11">
        <f>VLOOKUP(B5,'[1]Matriz Precios A'!$B$3:$BN$301,3,FALSE)</f>
        <v>57.85</v>
      </c>
      <c r="F5" s="11">
        <v>0</v>
      </c>
      <c r="G5" s="12">
        <f>VLOOKUP(B5,'[1]Matriz Precios A'!$B$3:$BP$301,7,FALSE)</f>
        <v>0</v>
      </c>
      <c r="H5" s="13">
        <f t="shared" si="0"/>
        <v>0</v>
      </c>
      <c r="I5" s="13">
        <f>VLOOKUP(B5,'[1]Matriz Precios A'!$B$3:$BP$301,8,FALSE)</f>
        <v>1</v>
      </c>
      <c r="J5" s="11">
        <f t="shared" si="1"/>
        <v>25</v>
      </c>
      <c r="K5" s="13">
        <f t="shared" si="2"/>
        <v>5.3</v>
      </c>
      <c r="L5" s="11">
        <f t="shared" si="3"/>
        <v>88.149999999999991</v>
      </c>
      <c r="M5" s="14">
        <f>$H$199</f>
        <v>15826.494724501759</v>
      </c>
      <c r="N5" s="14">
        <f t="shared" si="4"/>
        <v>1395200</v>
      </c>
      <c r="O5" s="14">
        <f t="shared" si="5"/>
        <v>231000</v>
      </c>
      <c r="P5" s="15">
        <v>102510</v>
      </c>
      <c r="Q5" s="16">
        <f>VLOOKUP(B5,[2]Sheet1!$C$2:$D$299,2,FALSE)</f>
        <v>132510</v>
      </c>
      <c r="R5" s="17">
        <v>0</v>
      </c>
      <c r="S5" s="18">
        <f t="shared" si="6"/>
        <v>-132510</v>
      </c>
      <c r="T5" s="19">
        <f t="shared" si="7"/>
        <v>-102510</v>
      </c>
      <c r="U5" s="20" t="str">
        <f t="shared" si="8"/>
        <v>ATRASADO</v>
      </c>
      <c r="V5" s="21">
        <f>VLOOKUP(B5,'[3]Deal List'!$F$4:$Q$302,8,FALSE)</f>
        <v>2</v>
      </c>
      <c r="W5" s="22" t="str">
        <f>VLOOKUP(B5,'[3]Deal List'!$F$4:$Q$302,9,FALSE)</f>
        <v>N/A</v>
      </c>
      <c r="X5" s="23">
        <f>VLOOKUP(B5,'[3]Deal List'!$F$4:$Q$302,12,FALSE)</f>
        <v>0</v>
      </c>
    </row>
    <row r="6" spans="1:24" x14ac:dyDescent="0.3">
      <c r="A6" s="8" t="s">
        <v>24</v>
      </c>
      <c r="B6" s="26">
        <v>1902</v>
      </c>
      <c r="C6" s="9" t="str">
        <f>VLOOKUP(B6,'[1]Matriz Precios A'!$B$3:$BN$301,2,FALSE)</f>
        <v>D5</v>
      </c>
      <c r="D6" s="10">
        <f>VLOOKUP(B6,'[1]Matriz Precios A'!$B$3:$BN$301,34,FALSE)</f>
        <v>1289700</v>
      </c>
      <c r="E6" s="11">
        <f>VLOOKUP(B6,'[1]Matriz Precios A'!$B$3:$BN$301,3,FALSE)</f>
        <v>66.45</v>
      </c>
      <c r="F6" s="11">
        <v>0</v>
      </c>
      <c r="G6" s="12">
        <f>VLOOKUP(B6,'[1]Matriz Precios A'!$B$3:$BP$301,7,FALSE)</f>
        <v>0</v>
      </c>
      <c r="H6" s="13">
        <f t="shared" si="0"/>
        <v>0</v>
      </c>
      <c r="I6" s="13">
        <f>VLOOKUP(B6,'[1]Matriz Precios A'!$B$3:$BP$301,8,FALSE)</f>
        <v>1</v>
      </c>
      <c r="J6" s="11">
        <f t="shared" si="1"/>
        <v>25</v>
      </c>
      <c r="K6" s="13">
        <f t="shared" si="2"/>
        <v>5.3</v>
      </c>
      <c r="L6" s="11">
        <f t="shared" si="3"/>
        <v>96.75</v>
      </c>
      <c r="M6" s="14">
        <f>$H$200</f>
        <v>14696.813977389518</v>
      </c>
      <c r="N6" s="14">
        <f t="shared" si="4"/>
        <v>1422000</v>
      </c>
      <c r="O6" s="14">
        <f t="shared" si="5"/>
        <v>132300</v>
      </c>
      <c r="P6" s="15">
        <v>128970</v>
      </c>
      <c r="Q6" s="16">
        <f>VLOOKUP(B6,[2]Sheet1!$C$2:$D$299,2,FALSE)</f>
        <v>132200</v>
      </c>
      <c r="R6" s="17">
        <v>0</v>
      </c>
      <c r="S6" s="18">
        <f t="shared" si="6"/>
        <v>-132200</v>
      </c>
      <c r="T6" s="19">
        <f t="shared" si="7"/>
        <v>-128970</v>
      </c>
      <c r="U6" s="20" t="str">
        <f t="shared" si="8"/>
        <v>ATRASADO</v>
      </c>
      <c r="V6" s="21">
        <f>VLOOKUP(B6,'[3]Deal List'!$F$4:$Q$302,8,FALSE)</f>
        <v>2</v>
      </c>
      <c r="W6" s="22" t="str">
        <f>VLOOKUP(B6,'[3]Deal List'!$F$4:$Q$302,9,FALSE)</f>
        <v>N/A</v>
      </c>
      <c r="X6" s="23">
        <f>VLOOKUP(B6,'[3]Deal List'!$F$4:$Q$302,12,FALSE)</f>
        <v>0</v>
      </c>
    </row>
    <row r="7" spans="1:24" x14ac:dyDescent="0.3">
      <c r="A7" s="8" t="s">
        <v>24</v>
      </c>
      <c r="B7" s="25">
        <v>1904</v>
      </c>
      <c r="C7" s="9" t="str">
        <f>VLOOKUP(B7,'[1]Matriz Precios A'!$B$3:$BN$301,2,FALSE)</f>
        <v>D5</v>
      </c>
      <c r="D7" s="10">
        <f>VLOOKUP(B7,'[1]Matriz Precios A'!$B$3:$BN$301,34,FALSE)</f>
        <v>1289700</v>
      </c>
      <c r="E7" s="11">
        <f>VLOOKUP(B7,'[1]Matriz Precios A'!$B$3:$BN$301,3,FALSE)</f>
        <v>66.45</v>
      </c>
      <c r="F7" s="11">
        <v>0</v>
      </c>
      <c r="G7" s="12">
        <f>VLOOKUP(B7,'[1]Matriz Precios A'!$B$3:$BP$301,7,FALSE)</f>
        <v>0</v>
      </c>
      <c r="H7" s="13">
        <f t="shared" si="0"/>
        <v>0</v>
      </c>
      <c r="I7" s="13">
        <f>VLOOKUP(B7,'[1]Matriz Precios A'!$B$3:$BP$301,8,FALSE)</f>
        <v>1</v>
      </c>
      <c r="J7" s="11">
        <f t="shared" si="1"/>
        <v>25</v>
      </c>
      <c r="K7" s="13">
        <f t="shared" si="2"/>
        <v>5.3</v>
      </c>
      <c r="L7" s="11">
        <f t="shared" si="3"/>
        <v>96.75</v>
      </c>
      <c r="M7" s="14">
        <f>$H$200</f>
        <v>14696.813977389518</v>
      </c>
      <c r="N7" s="14">
        <f t="shared" si="4"/>
        <v>1422000</v>
      </c>
      <c r="O7" s="14">
        <f t="shared" si="5"/>
        <v>132300</v>
      </c>
      <c r="P7" s="15">
        <v>128970</v>
      </c>
      <c r="Q7" s="16">
        <f>VLOOKUP(B7,[2]Sheet1!$C$2:$D$299,2,FALSE)</f>
        <v>132200</v>
      </c>
      <c r="R7" s="17">
        <v>0</v>
      </c>
      <c r="S7" s="18">
        <f t="shared" si="6"/>
        <v>-132200</v>
      </c>
      <c r="T7" s="19">
        <f t="shared" si="7"/>
        <v>-128970</v>
      </c>
      <c r="U7" s="20" t="str">
        <f t="shared" si="8"/>
        <v>ATRASADO</v>
      </c>
      <c r="V7" s="21">
        <f>VLOOKUP(B7,'[3]Deal List'!$F$4:$Q$302,8,FALSE)</f>
        <v>2</v>
      </c>
      <c r="W7" s="22" t="str">
        <f>VLOOKUP(B7,'[3]Deal List'!$F$4:$Q$302,9,FALSE)</f>
        <v>N/A</v>
      </c>
      <c r="X7" s="23">
        <f>VLOOKUP(B7,'[3]Deal List'!$F$4:$Q$302,12,FALSE)</f>
        <v>0</v>
      </c>
    </row>
    <row r="8" spans="1:24" x14ac:dyDescent="0.3">
      <c r="A8" s="9" t="s">
        <v>26</v>
      </c>
      <c r="B8" s="28">
        <v>1801</v>
      </c>
      <c r="C8" s="9" t="str">
        <f>VLOOKUP(B8,'[1]Matriz Precios A'!$B$3:$BN$301,2,FALSE)</f>
        <v>E7</v>
      </c>
      <c r="D8" s="10">
        <f>VLOOKUP(B8,'[1]Matriz Precios A'!$B$3:$BN$301,34,FALSE)</f>
        <v>1391452</v>
      </c>
      <c r="E8" s="11">
        <f>VLOOKUP(B8,'[1]Matriz Precios A'!$B$3:$BN$301,3,FALSE)</f>
        <v>74.39</v>
      </c>
      <c r="F8" s="11">
        <v>0</v>
      </c>
      <c r="G8" s="12">
        <f>VLOOKUP(B8,'[1]Matriz Precios A'!$B$3:$BP$301,7,FALSE)</f>
        <v>0</v>
      </c>
      <c r="H8" s="13">
        <f t="shared" si="0"/>
        <v>0</v>
      </c>
      <c r="I8" s="13">
        <f>VLOOKUP(B8,'[1]Matriz Precios A'!$B$3:$BP$301,8,FALSE)</f>
        <v>1</v>
      </c>
      <c r="J8" s="11">
        <f t="shared" si="1"/>
        <v>25</v>
      </c>
      <c r="K8" s="13">
        <f t="shared" si="2"/>
        <v>5.3</v>
      </c>
      <c r="L8" s="11">
        <f t="shared" si="3"/>
        <v>104.69</v>
      </c>
      <c r="M8" s="14">
        <f>$H$201</f>
        <v>15392.061955469506</v>
      </c>
      <c r="N8" s="14">
        <f t="shared" si="4"/>
        <v>1611400</v>
      </c>
      <c r="O8" s="14">
        <f t="shared" si="5"/>
        <v>219948</v>
      </c>
      <c r="P8" s="16">
        <v>139152</v>
      </c>
      <c r="Q8" s="16">
        <f>VLOOKUP(B8,[2]Sheet1!$C$2:$D$299,2,FALSE)</f>
        <v>139152</v>
      </c>
      <c r="R8" s="17">
        <v>13600</v>
      </c>
      <c r="S8" s="18">
        <f t="shared" si="6"/>
        <v>-125552</v>
      </c>
      <c r="T8" s="19">
        <f t="shared" si="7"/>
        <v>-125552</v>
      </c>
      <c r="U8" s="20" t="str">
        <f t="shared" si="8"/>
        <v>ATRASADO</v>
      </c>
      <c r="V8" s="21">
        <f>VLOOKUP(B8,'[3]Deal List'!$F$4:$Q$302,8,FALSE)</f>
        <v>1</v>
      </c>
      <c r="W8" s="22" t="str">
        <f>VLOOKUP(B8,'[3]Deal List'!$F$4:$Q$302,9,FALSE)</f>
        <v>N/A</v>
      </c>
      <c r="X8" s="23">
        <f>VLOOKUP(B8,'[3]Deal List'!$F$4:$Q$302,12,FALSE)</f>
        <v>0</v>
      </c>
    </row>
    <row r="9" spans="1:24" x14ac:dyDescent="0.3">
      <c r="A9" s="9" t="s">
        <v>27</v>
      </c>
      <c r="B9" s="28">
        <v>1608</v>
      </c>
      <c r="C9" s="9" t="str">
        <f>VLOOKUP(B9,'[1]Matriz Precios A'!$B$3:$BN$301,2,FALSE)</f>
        <v>C8</v>
      </c>
      <c r="D9" s="10">
        <f>VLOOKUP(B9,'[1]Matriz Precios A'!$B$3:$BN$301,34,FALSE)</f>
        <v>1153648</v>
      </c>
      <c r="E9" s="11">
        <f>VLOOKUP(B9,'[1]Matriz Precios A'!$B$3:$BN$301,3,FALSE)</f>
        <v>57.97</v>
      </c>
      <c r="F9" s="11">
        <v>0</v>
      </c>
      <c r="G9" s="12">
        <f>VLOOKUP(B9,'[1]Matriz Precios A'!$B$3:$BP$301,7,FALSE)</f>
        <v>0</v>
      </c>
      <c r="H9" s="13">
        <f t="shared" si="0"/>
        <v>0</v>
      </c>
      <c r="I9" s="13">
        <f>VLOOKUP(B9,'[1]Matriz Precios A'!$B$3:$BP$301,8,FALSE)</f>
        <v>1</v>
      </c>
      <c r="J9" s="11">
        <f t="shared" si="1"/>
        <v>25</v>
      </c>
      <c r="K9" s="13">
        <f t="shared" si="2"/>
        <v>5.3</v>
      </c>
      <c r="L9" s="11">
        <f t="shared" si="3"/>
        <v>88.27</v>
      </c>
      <c r="M9" s="14">
        <f>$H$199</f>
        <v>15826.494724501759</v>
      </c>
      <c r="N9" s="14">
        <f t="shared" si="4"/>
        <v>1397100</v>
      </c>
      <c r="O9" s="14">
        <f t="shared" si="5"/>
        <v>243452</v>
      </c>
      <c r="P9" s="16">
        <v>115448</v>
      </c>
      <c r="Q9" s="16">
        <f>VLOOKUP(B9,[2]Sheet1!$C$2:$D$299,2,FALSE)</f>
        <v>115448</v>
      </c>
      <c r="R9" s="17">
        <v>6000</v>
      </c>
      <c r="S9" s="18">
        <f t="shared" si="6"/>
        <v>-109448</v>
      </c>
      <c r="T9" s="19">
        <f t="shared" si="7"/>
        <v>-109448</v>
      </c>
      <c r="U9" s="20" t="str">
        <f t="shared" si="8"/>
        <v>ATRASADO</v>
      </c>
      <c r="V9" s="21">
        <f>VLOOKUP(B9,'[3]Deal List'!$F$4:$Q$302,8,FALSE)</f>
        <v>1</v>
      </c>
      <c r="W9" s="22" t="str">
        <f>VLOOKUP(B9,'[3]Deal List'!$F$4:$Q$302,9,FALSE)</f>
        <v>N/A</v>
      </c>
      <c r="X9" s="23">
        <f>VLOOKUP(B9,'[3]Deal List'!$F$4:$Q$302,12,FALSE)</f>
        <v>0</v>
      </c>
    </row>
    <row r="10" spans="1:24" x14ac:dyDescent="0.3">
      <c r="A10" s="9" t="s">
        <v>28</v>
      </c>
      <c r="B10" s="28">
        <v>1508</v>
      </c>
      <c r="C10" s="9" t="str">
        <f>VLOOKUP(B10,'[1]Matriz Precios A'!$B$3:$BN$301,2,FALSE)</f>
        <v>C8</v>
      </c>
      <c r="D10" s="10">
        <f>VLOOKUP(B10,'[1]Matriz Precios A'!$B$3:$BN$301,34,FALSE)</f>
        <v>1141560</v>
      </c>
      <c r="E10" s="11">
        <f>VLOOKUP(B10,'[1]Matriz Precios A'!$B$3:$BN$301,3,FALSE)</f>
        <v>57.97</v>
      </c>
      <c r="F10" s="11">
        <v>0</v>
      </c>
      <c r="G10" s="12">
        <f>VLOOKUP(B10,'[1]Matriz Precios A'!$B$3:$BP$301,7,FALSE)</f>
        <v>0</v>
      </c>
      <c r="H10" s="13">
        <f t="shared" si="0"/>
        <v>0</v>
      </c>
      <c r="I10" s="13">
        <f>VLOOKUP(B10,'[1]Matriz Precios A'!$B$3:$BP$301,8,FALSE)</f>
        <v>1</v>
      </c>
      <c r="J10" s="11">
        <f t="shared" si="1"/>
        <v>25</v>
      </c>
      <c r="K10" s="13">
        <f t="shared" si="2"/>
        <v>5.3</v>
      </c>
      <c r="L10" s="11">
        <f t="shared" si="3"/>
        <v>88.27</v>
      </c>
      <c r="M10" s="14">
        <f>$H$199</f>
        <v>15826.494724501759</v>
      </c>
      <c r="N10" s="14">
        <f t="shared" si="4"/>
        <v>1397100</v>
      </c>
      <c r="O10" s="14">
        <f t="shared" si="5"/>
        <v>255540</v>
      </c>
      <c r="P10" s="16">
        <v>114160</v>
      </c>
      <c r="Q10" s="16">
        <f>VLOOKUP(B10,[2]Sheet1!$C$2:$D$299,2,FALSE)</f>
        <v>114160</v>
      </c>
      <c r="R10" s="17">
        <v>6000</v>
      </c>
      <c r="S10" s="18">
        <f t="shared" si="6"/>
        <v>-108160</v>
      </c>
      <c r="T10" s="19">
        <f t="shared" si="7"/>
        <v>-108160</v>
      </c>
      <c r="U10" s="20" t="str">
        <f t="shared" si="8"/>
        <v>ATRASADO</v>
      </c>
      <c r="V10" s="21">
        <f>VLOOKUP(B10,'[3]Deal List'!$F$4:$Q$302,8,FALSE)</f>
        <v>1</v>
      </c>
      <c r="W10" s="22" t="str">
        <f>VLOOKUP(B10,'[3]Deal List'!$F$4:$Q$302,9,FALSE)</f>
        <v>N/A</v>
      </c>
      <c r="X10" s="23">
        <f>VLOOKUP(B10,'[3]Deal List'!$F$4:$Q$302,12,FALSE)</f>
        <v>0</v>
      </c>
    </row>
    <row r="11" spans="1:24" x14ac:dyDescent="0.3">
      <c r="A11" s="9" t="s">
        <v>29</v>
      </c>
      <c r="B11" s="28">
        <v>1807</v>
      </c>
      <c r="C11" s="9" t="str">
        <f>VLOOKUP(B11,'[1]Matriz Precios A'!$B$3:$BN$301,2,FALSE)</f>
        <v>C11</v>
      </c>
      <c r="D11" s="10">
        <f>VLOOKUP(B11,'[1]Matriz Precios A'!$B$3:$BN$301,34,FALSE)</f>
        <v>1131156</v>
      </c>
      <c r="E11" s="11">
        <f>VLOOKUP(B11,'[1]Matriz Precios A'!$B$3:$BN$301,3,FALSE)</f>
        <v>56.3</v>
      </c>
      <c r="F11" s="11">
        <v>0</v>
      </c>
      <c r="G11" s="12">
        <f>VLOOKUP(B11,'[1]Matriz Precios A'!$B$3:$BP$301,7,FALSE)</f>
        <v>0</v>
      </c>
      <c r="H11" s="13">
        <f t="shared" si="0"/>
        <v>0</v>
      </c>
      <c r="I11" s="13">
        <f>VLOOKUP(B11,'[1]Matriz Precios A'!$B$3:$BP$301,8,FALSE)</f>
        <v>1</v>
      </c>
      <c r="J11" s="11">
        <f t="shared" si="1"/>
        <v>25</v>
      </c>
      <c r="K11" s="13">
        <f t="shared" si="2"/>
        <v>5.3</v>
      </c>
      <c r="L11" s="11">
        <f t="shared" si="3"/>
        <v>86.6</v>
      </c>
      <c r="M11" s="14">
        <f>$H$199</f>
        <v>15826.494724501759</v>
      </c>
      <c r="N11" s="14">
        <f t="shared" si="4"/>
        <v>1370600</v>
      </c>
      <c r="O11" s="14">
        <f t="shared" si="5"/>
        <v>239444</v>
      </c>
      <c r="P11" s="16">
        <v>113156</v>
      </c>
      <c r="Q11" s="16">
        <f>VLOOKUP(B11,[2]Sheet1!$C$2:$D$299,2,FALSE)</f>
        <v>113156</v>
      </c>
      <c r="R11" s="17">
        <v>12100</v>
      </c>
      <c r="S11" s="18">
        <f t="shared" si="6"/>
        <v>-101056</v>
      </c>
      <c r="T11" s="19">
        <f t="shared" si="7"/>
        <v>-101056</v>
      </c>
      <c r="U11" s="20" t="str">
        <f t="shared" si="8"/>
        <v>ATRASADO</v>
      </c>
      <c r="V11" s="21">
        <f>VLOOKUP(B11,'[3]Deal List'!$F$4:$Q$302,8,FALSE)</f>
        <v>1</v>
      </c>
      <c r="W11" s="22" t="str">
        <f>VLOOKUP(B11,'[3]Deal List'!$F$4:$Q$302,9,FALSE)</f>
        <v>N/A</v>
      </c>
      <c r="X11" s="23">
        <f>VLOOKUP(B11,'[3]Deal List'!$F$4:$Q$302,12,FALSE)</f>
        <v>0</v>
      </c>
    </row>
    <row r="12" spans="1:24" x14ac:dyDescent="0.3">
      <c r="A12" s="8" t="s">
        <v>30</v>
      </c>
      <c r="B12" s="26">
        <v>912</v>
      </c>
      <c r="C12" s="9" t="str">
        <f>VLOOKUP(B12,'[1]Matriz Precios A'!$B$3:$BN$301,2,FALSE)</f>
        <v>C7</v>
      </c>
      <c r="D12" s="10">
        <f>VLOOKUP(B12,'[1]Matriz Precios A'!$B$3:$BN$301,34,FALSE)</f>
        <v>973800</v>
      </c>
      <c r="E12" s="11">
        <f>VLOOKUP(B12,'[1]Matriz Precios A'!$B$3:$BN$301,3,FALSE)</f>
        <v>57.85</v>
      </c>
      <c r="F12" s="11">
        <v>0</v>
      </c>
      <c r="G12" s="12">
        <f>VLOOKUP(B12,'[1]Matriz Precios A'!$B$3:$BP$301,7,FALSE)</f>
        <v>1</v>
      </c>
      <c r="H12" s="13">
        <f t="shared" si="0"/>
        <v>12.5</v>
      </c>
      <c r="I12" s="13">
        <f>VLOOKUP(B12,'[1]Matriz Precios A'!$B$3:$BP$301,8,FALSE)</f>
        <v>0</v>
      </c>
      <c r="J12" s="11">
        <f t="shared" si="1"/>
        <v>0</v>
      </c>
      <c r="K12" s="13">
        <f t="shared" si="2"/>
        <v>0</v>
      </c>
      <c r="L12" s="11">
        <f t="shared" si="3"/>
        <v>70.349999999999994</v>
      </c>
      <c r="M12" s="14">
        <f>$H$199</f>
        <v>15826.494724501759</v>
      </c>
      <c r="N12" s="14">
        <f t="shared" si="4"/>
        <v>1113400</v>
      </c>
      <c r="O12" s="14">
        <f t="shared" si="5"/>
        <v>139600</v>
      </c>
      <c r="P12" s="15">
        <v>97380</v>
      </c>
      <c r="Q12" s="16">
        <f>VLOOKUP(B12,[2]Sheet1!$C$2:$D$299,2,FALSE)</f>
        <v>97380</v>
      </c>
      <c r="R12" s="17">
        <v>0</v>
      </c>
      <c r="S12" s="18">
        <f t="shared" si="6"/>
        <v>-97380</v>
      </c>
      <c r="T12" s="19">
        <f t="shared" si="7"/>
        <v>-97380</v>
      </c>
      <c r="U12" s="20" t="str">
        <f t="shared" si="8"/>
        <v>ATRASADO</v>
      </c>
      <c r="V12" s="21">
        <f>VLOOKUP(B12,'[3]Deal List'!$F$4:$Q$302,8,FALSE)</f>
        <v>2</v>
      </c>
      <c r="W12" s="22" t="str">
        <f>VLOOKUP(B12,'[3]Deal List'!$F$4:$Q$302,9,FALSE)</f>
        <v>N/A</v>
      </c>
      <c r="X12" s="23">
        <f>VLOOKUP(B12,'[3]Deal List'!$F$4:$Q$302,12,FALSE)</f>
        <v>0</v>
      </c>
    </row>
    <row r="13" spans="1:24" x14ac:dyDescent="0.3">
      <c r="A13" s="8" t="s">
        <v>30</v>
      </c>
      <c r="B13" s="26">
        <v>1012</v>
      </c>
      <c r="C13" s="9" t="str">
        <f>VLOOKUP(B13,'[1]Matriz Precios A'!$B$3:$BN$301,2,FALSE)</f>
        <v>C7</v>
      </c>
      <c r="D13" s="10">
        <f>VLOOKUP(B13,'[1]Matriz Precios A'!$B$3:$BN$301,34,FALSE)</f>
        <v>973800</v>
      </c>
      <c r="E13" s="11">
        <f>VLOOKUP(B13,'[1]Matriz Precios A'!$B$3:$BN$301,3,FALSE)</f>
        <v>57.85</v>
      </c>
      <c r="F13" s="11">
        <v>0</v>
      </c>
      <c r="G13" s="12">
        <f>VLOOKUP(B13,'[1]Matriz Precios A'!$B$3:$BP$301,7,FALSE)</f>
        <v>1</v>
      </c>
      <c r="H13" s="13">
        <f t="shared" si="0"/>
        <v>12.5</v>
      </c>
      <c r="I13" s="13">
        <f>VLOOKUP(B13,'[1]Matriz Precios A'!$B$3:$BP$301,8,FALSE)</f>
        <v>0</v>
      </c>
      <c r="J13" s="11">
        <f t="shared" si="1"/>
        <v>0</v>
      </c>
      <c r="K13" s="13">
        <f t="shared" si="2"/>
        <v>0</v>
      </c>
      <c r="L13" s="11">
        <f t="shared" si="3"/>
        <v>70.349999999999994</v>
      </c>
      <c r="M13" s="14">
        <f>$H$199</f>
        <v>15826.494724501759</v>
      </c>
      <c r="N13" s="14">
        <f t="shared" si="4"/>
        <v>1113400</v>
      </c>
      <c r="O13" s="14">
        <f t="shared" si="5"/>
        <v>139600</v>
      </c>
      <c r="P13" s="15">
        <v>97380</v>
      </c>
      <c r="Q13" s="16">
        <f>VLOOKUP(B13,[2]Sheet1!$C$2:$D$299,2,FALSE)</f>
        <v>97380</v>
      </c>
      <c r="R13" s="17">
        <v>0</v>
      </c>
      <c r="S13" s="18">
        <f t="shared" si="6"/>
        <v>-97380</v>
      </c>
      <c r="T13" s="19">
        <f t="shared" si="7"/>
        <v>-97380</v>
      </c>
      <c r="U13" s="20" t="str">
        <f t="shared" si="8"/>
        <v>ATRASADO</v>
      </c>
      <c r="V13" s="21">
        <f>VLOOKUP(B13,'[3]Deal List'!$F$4:$Q$302,8,FALSE)</f>
        <v>2</v>
      </c>
      <c r="W13" s="22" t="str">
        <f>VLOOKUP(B13,'[3]Deal List'!$F$4:$Q$302,9,FALSE)</f>
        <v>N/A</v>
      </c>
      <c r="X13" s="23">
        <f>VLOOKUP(B13,'[3]Deal List'!$F$4:$Q$302,12,FALSE)</f>
        <v>0</v>
      </c>
    </row>
    <row r="14" spans="1:24" x14ac:dyDescent="0.3">
      <c r="A14" s="8" t="s">
        <v>30</v>
      </c>
      <c r="B14" s="26">
        <v>920</v>
      </c>
      <c r="C14" s="9" t="str">
        <f>VLOOKUP(B14,'[1]Matriz Precios A'!$B$3:$BN$301,2,FALSE)</f>
        <v>C2</v>
      </c>
      <c r="D14" s="10">
        <f>VLOOKUP(B14,'[1]Matriz Precios A'!$B$3:$BN$301,34,FALSE)</f>
        <v>929000</v>
      </c>
      <c r="E14" s="11">
        <f>VLOOKUP(B14,'[1]Matriz Precios A'!$B$3:$BN$301,3,FALSE)</f>
        <v>54.73</v>
      </c>
      <c r="F14" s="11">
        <v>0</v>
      </c>
      <c r="G14" s="12">
        <f>VLOOKUP(B14,'[1]Matriz Precios A'!$B$3:$BP$301,7,FALSE)</f>
        <v>1</v>
      </c>
      <c r="H14" s="13">
        <f t="shared" si="0"/>
        <v>12.5</v>
      </c>
      <c r="I14" s="13">
        <f>VLOOKUP(B14,'[1]Matriz Precios A'!$B$3:$BP$301,8,FALSE)</f>
        <v>0</v>
      </c>
      <c r="J14" s="11">
        <f t="shared" si="1"/>
        <v>0</v>
      </c>
      <c r="K14" s="13">
        <f t="shared" si="2"/>
        <v>0</v>
      </c>
      <c r="L14" s="11">
        <f t="shared" si="3"/>
        <v>67.22999999999999</v>
      </c>
      <c r="M14" s="14">
        <f>$H$198</f>
        <v>16888.888888888891</v>
      </c>
      <c r="N14" s="14">
        <f t="shared" si="4"/>
        <v>1135500</v>
      </c>
      <c r="O14" s="14">
        <f t="shared" si="5"/>
        <v>206500</v>
      </c>
      <c r="P14" s="15">
        <v>92900</v>
      </c>
      <c r="Q14" s="16">
        <f>VLOOKUP(B14,[2]Sheet1!$C$2:$D$299,2,FALSE)</f>
        <v>92899.999999999956</v>
      </c>
      <c r="R14" s="17">
        <v>0</v>
      </c>
      <c r="S14" s="18">
        <f t="shared" si="6"/>
        <v>-92899.999999999956</v>
      </c>
      <c r="T14" s="19">
        <f t="shared" si="7"/>
        <v>-92900</v>
      </c>
      <c r="U14" s="20" t="str">
        <f t="shared" si="8"/>
        <v>ATRASADO</v>
      </c>
      <c r="V14" s="21">
        <f>VLOOKUP(B14,'[3]Deal List'!$F$4:$Q$302,8,FALSE)</f>
        <v>2</v>
      </c>
      <c r="W14" s="22" t="str">
        <f>VLOOKUP(B14,'[3]Deal List'!$F$4:$Q$302,9,FALSE)</f>
        <v>N/A</v>
      </c>
      <c r="X14" s="23">
        <f>VLOOKUP(B14,'[3]Deal List'!$F$4:$Q$302,12,FALSE)</f>
        <v>0</v>
      </c>
    </row>
    <row r="15" spans="1:24" x14ac:dyDescent="0.3">
      <c r="A15" s="8" t="s">
        <v>24</v>
      </c>
      <c r="B15" s="26">
        <v>1409</v>
      </c>
      <c r="C15" s="9" t="str">
        <f>VLOOKUP(B15,'[1]Matriz Precios A'!$B$3:$BN$301,2,FALSE)</f>
        <v>B4</v>
      </c>
      <c r="D15" s="10">
        <f>VLOOKUP(B15,'[1]Matriz Precios A'!$B$3:$BN$301,34,FALSE)</f>
        <v>858400</v>
      </c>
      <c r="E15" s="11">
        <f>VLOOKUP(B15,'[1]Matriz Precios A'!$B$3:$BN$301,3,FALSE)</f>
        <v>49.77</v>
      </c>
      <c r="F15" s="11">
        <v>0</v>
      </c>
      <c r="G15" s="12">
        <f>VLOOKUP(B15,'[1]Matriz Precios A'!$B$3:$BP$301,7,FALSE)</f>
        <v>1</v>
      </c>
      <c r="H15" s="13">
        <f t="shared" si="0"/>
        <v>12.5</v>
      </c>
      <c r="I15" s="13">
        <f>VLOOKUP(B15,'[1]Matriz Precios A'!$B$3:$BP$301,8,FALSE)</f>
        <v>0</v>
      </c>
      <c r="J15" s="11">
        <f t="shared" si="1"/>
        <v>0</v>
      </c>
      <c r="K15" s="13">
        <f t="shared" si="2"/>
        <v>0</v>
      </c>
      <c r="L15" s="11">
        <f t="shared" si="3"/>
        <v>62.27</v>
      </c>
      <c r="M15" s="14">
        <f>$H$196</f>
        <v>16800</v>
      </c>
      <c r="N15" s="14">
        <f t="shared" si="4"/>
        <v>1046200</v>
      </c>
      <c r="O15" s="14">
        <f t="shared" si="5"/>
        <v>187800</v>
      </c>
      <c r="P15" s="15">
        <v>85840</v>
      </c>
      <c r="Q15" s="16">
        <f>VLOOKUP(B15,[2]Sheet1!$C$2:$D$299,2,FALSE)</f>
        <v>85840</v>
      </c>
      <c r="R15" s="17">
        <v>0</v>
      </c>
      <c r="S15" s="18">
        <f t="shared" si="6"/>
        <v>-85840</v>
      </c>
      <c r="T15" s="19">
        <f t="shared" si="7"/>
        <v>-85840</v>
      </c>
      <c r="U15" s="20" t="str">
        <f t="shared" si="8"/>
        <v>ATRASADO</v>
      </c>
      <c r="V15" s="21">
        <f>VLOOKUP(B15,'[3]Deal List'!$F$4:$Q$302,8,FALSE)</f>
        <v>2</v>
      </c>
      <c r="W15" s="22" t="str">
        <f>VLOOKUP(B15,'[3]Deal List'!$F$4:$Q$302,9,FALSE)</f>
        <v>N/A</v>
      </c>
      <c r="X15" s="23">
        <f>VLOOKUP(B15,'[3]Deal List'!$F$4:$Q$302,12,FALSE)</f>
        <v>0</v>
      </c>
    </row>
    <row r="16" spans="1:24" x14ac:dyDescent="0.3">
      <c r="A16" s="29" t="s">
        <v>31</v>
      </c>
      <c r="B16" s="29">
        <v>1008</v>
      </c>
      <c r="C16" s="9" t="str">
        <f>VLOOKUP(B16,'[1]Matriz Precios A'!$B$3:$BN$301,2,FALSE)</f>
        <v>B3</v>
      </c>
      <c r="D16" s="10">
        <f>VLOOKUP(B16,'[1]Matriz Precios A'!$B$3:$BN$301,34,FALSE)</f>
        <v>845100</v>
      </c>
      <c r="E16" s="11">
        <f>VLOOKUP(B16,'[1]Matriz Precios A'!$B$3:$BN$301,3,FALSE)</f>
        <v>48.96</v>
      </c>
      <c r="F16" s="11">
        <v>0</v>
      </c>
      <c r="G16" s="12">
        <f>VLOOKUP(B16,'[1]Matriz Precios A'!$B$3:$BP$301,7,FALSE)</f>
        <v>1</v>
      </c>
      <c r="H16" s="13">
        <f t="shared" si="0"/>
        <v>12.5</v>
      </c>
      <c r="I16" s="13">
        <f>VLOOKUP(B16,'[1]Matriz Precios A'!$B$3:$BP$301,8,FALSE)</f>
        <v>0</v>
      </c>
      <c r="J16" s="11">
        <f t="shared" si="1"/>
        <v>0</v>
      </c>
      <c r="K16" s="13">
        <f t="shared" si="2"/>
        <v>0</v>
      </c>
      <c r="L16" s="11">
        <f t="shared" si="3"/>
        <v>61.46</v>
      </c>
      <c r="M16" s="14">
        <f>$H$196</f>
        <v>16800</v>
      </c>
      <c r="N16" s="14">
        <f t="shared" si="4"/>
        <v>1032600</v>
      </c>
      <c r="O16" s="14">
        <f t="shared" si="5"/>
        <v>187500</v>
      </c>
      <c r="P16" s="15">
        <v>84510</v>
      </c>
      <c r="Q16" s="16">
        <f>VLOOKUP(B16,[2]Sheet1!$C$2:$D$299,2,FALSE)</f>
        <v>84510</v>
      </c>
      <c r="R16" s="17">
        <v>8000</v>
      </c>
      <c r="S16" s="18">
        <f t="shared" si="6"/>
        <v>-76510</v>
      </c>
      <c r="T16" s="19">
        <f t="shared" si="7"/>
        <v>-76510</v>
      </c>
      <c r="U16" s="20" t="str">
        <f t="shared" si="8"/>
        <v>ATRASADO</v>
      </c>
      <c r="V16" s="21">
        <f>VLOOKUP(B16,'[3]Deal List'!$F$4:$Q$302,8,FALSE)</f>
        <v>2</v>
      </c>
      <c r="W16" s="22" t="str">
        <f>VLOOKUP(B16,'[3]Deal List'!$F$4:$Q$302,9,FALSE)</f>
        <v>N/A</v>
      </c>
      <c r="X16" s="23">
        <f>VLOOKUP(B16,'[3]Deal List'!$F$4:$Q$302,12,FALSE)</f>
        <v>0</v>
      </c>
    </row>
    <row r="17" spans="1:24" x14ac:dyDescent="0.3">
      <c r="A17" s="8" t="s">
        <v>24</v>
      </c>
      <c r="B17" s="25">
        <v>1107</v>
      </c>
      <c r="C17" s="9" t="str">
        <f>VLOOKUP(B17,'[1]Matriz Precios A'!$B$3:$BN$301,2,FALSE)</f>
        <v>A12</v>
      </c>
      <c r="D17" s="10">
        <f>VLOOKUP(B17,'[1]Matriz Precios A'!$B$3:$BN$301,34,FALSE)</f>
        <v>685200</v>
      </c>
      <c r="E17" s="11">
        <f>VLOOKUP(B17,'[1]Matriz Precios A'!$B$3:$BN$301,3,FALSE)</f>
        <v>37.17</v>
      </c>
      <c r="F17" s="11">
        <v>0</v>
      </c>
      <c r="G17" s="12">
        <f>VLOOKUP(B17,'[1]Matriz Precios A'!$B$3:$BP$301,7,FALSE)</f>
        <v>1</v>
      </c>
      <c r="H17" s="13">
        <f t="shared" si="0"/>
        <v>12.5</v>
      </c>
      <c r="I17" s="13">
        <f>VLOOKUP(B17,'[1]Matriz Precios A'!$B$3:$BP$301,8,FALSE)</f>
        <v>0</v>
      </c>
      <c r="J17" s="11">
        <f t="shared" si="1"/>
        <v>0</v>
      </c>
      <c r="K17" s="13">
        <f t="shared" si="2"/>
        <v>0</v>
      </c>
      <c r="L17" s="11">
        <f t="shared" si="3"/>
        <v>49.67</v>
      </c>
      <c r="M17" s="30">
        <f>$H$195</f>
        <v>18865.9793814433</v>
      </c>
      <c r="N17" s="14">
        <f t="shared" si="4"/>
        <v>937100</v>
      </c>
      <c r="O17" s="14">
        <f t="shared" si="5"/>
        <v>251900</v>
      </c>
      <c r="P17" s="15">
        <v>68520</v>
      </c>
      <c r="Q17" s="16">
        <f>VLOOKUP(B17,[2]Sheet1!$C$2:$D$299,2,FALSE)</f>
        <v>68520</v>
      </c>
      <c r="R17" s="17">
        <v>0</v>
      </c>
      <c r="S17" s="18">
        <f t="shared" si="6"/>
        <v>-68520</v>
      </c>
      <c r="T17" s="19">
        <f t="shared" si="7"/>
        <v>-68520</v>
      </c>
      <c r="U17" s="20" t="str">
        <f t="shared" si="8"/>
        <v>ATRASADO</v>
      </c>
      <c r="V17" s="21">
        <f>VLOOKUP(B17,'[3]Deal List'!$F$4:$Q$302,8,FALSE)</f>
        <v>2</v>
      </c>
      <c r="W17" s="22" t="str">
        <f>VLOOKUP(B17,'[3]Deal List'!$F$4:$Q$302,9,FALSE)</f>
        <v>N/A</v>
      </c>
      <c r="X17" s="23">
        <f>VLOOKUP(B17,'[3]Deal List'!$F$4:$Q$302,12,FALSE)</f>
        <v>0</v>
      </c>
    </row>
    <row r="18" spans="1:24" x14ac:dyDescent="0.3">
      <c r="A18" s="29" t="s">
        <v>32</v>
      </c>
      <c r="B18" s="27">
        <v>309</v>
      </c>
      <c r="C18" s="9" t="str">
        <f>VLOOKUP(B18,'[1]Matriz Precios A'!$B$3:$BN$301,2,FALSE)</f>
        <v>D7</v>
      </c>
      <c r="D18" s="10">
        <f>VLOOKUP(B18,'[1]Matriz Precios A'!$B$3:$BN$301,34,FALSE)</f>
        <v>1341690</v>
      </c>
      <c r="E18" s="11">
        <f>VLOOKUP(B18,'[1]Matriz Precios A'!$B$3:$BN$301,3,FALSE)</f>
        <v>66.72</v>
      </c>
      <c r="F18" s="11">
        <v>0</v>
      </c>
      <c r="G18" s="12">
        <f>VLOOKUP(B18,'[1]Matriz Precios A'!$B$3:$BP$301,7,FALSE)</f>
        <v>0</v>
      </c>
      <c r="H18" s="13">
        <f t="shared" si="0"/>
        <v>0</v>
      </c>
      <c r="I18" s="13">
        <f>VLOOKUP(B18,'[1]Matriz Precios A'!$B$3:$BP$301,8,FALSE)</f>
        <v>1</v>
      </c>
      <c r="J18" s="11">
        <f t="shared" si="1"/>
        <v>25</v>
      </c>
      <c r="K18" s="13">
        <f t="shared" si="2"/>
        <v>5.3</v>
      </c>
      <c r="L18" s="11">
        <f t="shared" si="3"/>
        <v>97.02</v>
      </c>
      <c r="M18" s="14">
        <f>$H$200</f>
        <v>14696.813977389518</v>
      </c>
      <c r="N18" s="14">
        <f t="shared" si="4"/>
        <v>1425900</v>
      </c>
      <c r="O18" s="14">
        <f t="shared" si="5"/>
        <v>84210</v>
      </c>
      <c r="P18" s="15">
        <v>135090</v>
      </c>
      <c r="Q18" s="16">
        <f>VLOOKUP(B18,[2]Sheet1!$C$2:$D$299,2,FALSE)</f>
        <v>135090</v>
      </c>
      <c r="R18" s="17">
        <v>67500</v>
      </c>
      <c r="S18" s="18">
        <f t="shared" si="6"/>
        <v>-67590</v>
      </c>
      <c r="T18" s="19">
        <f t="shared" si="7"/>
        <v>-67590</v>
      </c>
      <c r="U18" s="20" t="str">
        <f t="shared" si="8"/>
        <v>ATRASADO</v>
      </c>
      <c r="V18" s="21">
        <f>VLOOKUP(B18,'[3]Deal List'!$F$4:$Q$302,8,FALSE)</f>
        <v>2</v>
      </c>
      <c r="W18" s="22" t="str">
        <f>VLOOKUP(B18,'[3]Deal List'!$F$4:$Q$302,9,FALSE)</f>
        <v>DENEGADA</v>
      </c>
      <c r="X18" s="23" t="str">
        <f>VLOOKUP(B18,'[3]Deal List'!$F$4:$Q$302,12,FALSE)</f>
        <v>Cliente posee RCI del 74% (Dos Crédito Hipotecario 1 millón y 260 mil, Crédito Prendario Q131 mil y TC Q89 mil), se sugiere adicionar otro deudor.</v>
      </c>
    </row>
    <row r="19" spans="1:24" x14ac:dyDescent="0.3">
      <c r="A19" s="31" t="s">
        <v>33</v>
      </c>
      <c r="B19" s="26">
        <v>1509</v>
      </c>
      <c r="C19" s="9" t="str">
        <f>VLOOKUP(B19,'[1]Matriz Precios A'!$B$3:$BN$301,2,FALSE)</f>
        <v>B4</v>
      </c>
      <c r="D19" s="10">
        <f>VLOOKUP(B19,'[1]Matriz Precios A'!$B$3:$BN$301,34,FALSE)</f>
        <v>1082159.69644988</v>
      </c>
      <c r="E19" s="11">
        <f>VLOOKUP(B19,'[1]Matriz Precios A'!$B$3:$BN$301,3,FALSE)</f>
        <v>49.77</v>
      </c>
      <c r="F19" s="11">
        <v>0</v>
      </c>
      <c r="G19" s="12">
        <f>VLOOKUP(B19,'[1]Matriz Precios A'!$B$3:$BP$301,7,FALSE)</f>
        <v>1</v>
      </c>
      <c r="H19" s="13">
        <f t="shared" si="0"/>
        <v>12.5</v>
      </c>
      <c r="I19" s="13">
        <f>VLOOKUP(B19,'[1]Matriz Precios A'!$B$3:$BP$301,8,FALSE)</f>
        <v>0</v>
      </c>
      <c r="J19" s="11">
        <f t="shared" si="1"/>
        <v>0</v>
      </c>
      <c r="K19" s="13">
        <f t="shared" si="2"/>
        <v>0</v>
      </c>
      <c r="L19" s="11">
        <f t="shared" si="3"/>
        <v>62.27</v>
      </c>
      <c r="M19" s="14">
        <f>$H$196</f>
        <v>16800</v>
      </c>
      <c r="N19" s="14">
        <f t="shared" si="4"/>
        <v>1046200</v>
      </c>
      <c r="O19" s="32">
        <f t="shared" si="5"/>
        <v>-35959.696449880023</v>
      </c>
      <c r="P19" s="15">
        <v>1082554.07</v>
      </c>
      <c r="Q19" s="16">
        <f>VLOOKUP(B19,[2]Sheet1!$C$2:$D$299,2,FALSE)</f>
        <v>768077.04</v>
      </c>
      <c r="R19" s="17">
        <v>703277.04</v>
      </c>
      <c r="S19" s="18">
        <f t="shared" si="6"/>
        <v>-64800</v>
      </c>
      <c r="T19" s="19">
        <f t="shared" si="7"/>
        <v>-379277.03</v>
      </c>
      <c r="U19" s="20" t="str">
        <f t="shared" si="8"/>
        <v>ATRASADO</v>
      </c>
      <c r="V19" s="21">
        <f>VLOOKUP(B19,'[3]Deal List'!$F$4:$Q$302,8,FALSE)</f>
        <v>3</v>
      </c>
      <c r="W19" s="22" t="str">
        <f>VLOOKUP(B19,'[3]Deal List'!$F$4:$Q$302,9,FALSE)</f>
        <v>APROBADA</v>
      </c>
      <c r="X19" s="23">
        <f>VLOOKUP(B19,'[3]Deal List'!$F$4:$Q$302,12,FALSE)</f>
        <v>0</v>
      </c>
    </row>
    <row r="20" spans="1:24" x14ac:dyDescent="0.3">
      <c r="A20" s="31" t="s">
        <v>33</v>
      </c>
      <c r="B20" s="26">
        <v>1315</v>
      </c>
      <c r="C20" s="9" t="str">
        <f>VLOOKUP(B20,'[1]Matriz Precios A'!$B$3:$BN$301,2,FALSE)</f>
        <v>B4</v>
      </c>
      <c r="D20" s="10">
        <f>VLOOKUP(B20,'[1]Matriz Precios A'!$B$3:$BN$301,34,FALSE)</f>
        <v>1072218.69827634</v>
      </c>
      <c r="E20" s="11">
        <f>VLOOKUP(B20,'[1]Matriz Precios A'!$B$3:$BN$301,3,FALSE)</f>
        <v>49.77</v>
      </c>
      <c r="F20" s="11">
        <v>0</v>
      </c>
      <c r="G20" s="12">
        <f>VLOOKUP(B20,'[1]Matriz Precios A'!$B$3:$BP$301,7,FALSE)</f>
        <v>1</v>
      </c>
      <c r="H20" s="13">
        <f t="shared" si="0"/>
        <v>12.5</v>
      </c>
      <c r="I20" s="13">
        <f>VLOOKUP(B20,'[1]Matriz Precios A'!$B$3:$BP$301,8,FALSE)</f>
        <v>0</v>
      </c>
      <c r="J20" s="11">
        <f t="shared" si="1"/>
        <v>0</v>
      </c>
      <c r="K20" s="13">
        <f t="shared" si="2"/>
        <v>0</v>
      </c>
      <c r="L20" s="11">
        <f t="shared" si="3"/>
        <v>62.27</v>
      </c>
      <c r="M20" s="14">
        <f>$H$196</f>
        <v>16800</v>
      </c>
      <c r="N20" s="14">
        <f t="shared" si="4"/>
        <v>1046200</v>
      </c>
      <c r="O20" s="32">
        <f t="shared" si="5"/>
        <v>-26018.69827634003</v>
      </c>
      <c r="P20" s="15">
        <v>1072274.01</v>
      </c>
      <c r="Q20" s="16">
        <f>VLOOKUP(B20,[2]Sheet1!$C$2:$D$299,2,FALSE)</f>
        <v>760836.99</v>
      </c>
      <c r="R20" s="17">
        <v>696636.99</v>
      </c>
      <c r="S20" s="18">
        <f t="shared" si="6"/>
        <v>-64200</v>
      </c>
      <c r="T20" s="19">
        <f t="shared" si="7"/>
        <v>-375637.02</v>
      </c>
      <c r="U20" s="20" t="str">
        <f t="shared" si="8"/>
        <v>ATRASADO</v>
      </c>
      <c r="V20" s="21">
        <f>VLOOKUP(B20,'[3]Deal List'!$F$4:$Q$302,8,FALSE)</f>
        <v>3</v>
      </c>
      <c r="W20" s="22" t="str">
        <f>VLOOKUP(B20,'[3]Deal List'!$F$4:$Q$302,9,FALSE)</f>
        <v>APROBADA</v>
      </c>
      <c r="X20" s="23">
        <f>VLOOKUP(B20,'[3]Deal List'!$F$4:$Q$302,12,FALSE)</f>
        <v>0</v>
      </c>
    </row>
    <row r="21" spans="1:24" x14ac:dyDescent="0.3">
      <c r="A21" s="9" t="s">
        <v>34</v>
      </c>
      <c r="B21" s="9">
        <v>1503</v>
      </c>
      <c r="C21" s="9" t="str">
        <f>VLOOKUP(B21,'[1]Matriz Precios A'!$B$3:$BN$301,2,FALSE)</f>
        <v>B6</v>
      </c>
      <c r="D21" s="10">
        <f>VLOOKUP(B21,'[1]Matriz Precios A'!$B$3:$BN$301,34,FALSE)</f>
        <v>852627.54461999994</v>
      </c>
      <c r="E21" s="11">
        <f>VLOOKUP(B21,'[1]Matriz Precios A'!$B$3:$BN$301,3,FALSE)</f>
        <v>50.03</v>
      </c>
      <c r="F21" s="11">
        <v>0</v>
      </c>
      <c r="G21" s="12">
        <f>VLOOKUP(B21,'[1]Matriz Precios A'!$B$3:$BP$301,7,FALSE)</f>
        <v>1</v>
      </c>
      <c r="H21" s="13">
        <f t="shared" si="0"/>
        <v>12.5</v>
      </c>
      <c r="I21" s="13">
        <f>VLOOKUP(B21,'[1]Matriz Precios A'!$B$3:$BP$301,8,FALSE)</f>
        <v>0</v>
      </c>
      <c r="J21" s="11">
        <f t="shared" si="1"/>
        <v>0</v>
      </c>
      <c r="K21" s="13">
        <f t="shared" si="2"/>
        <v>0</v>
      </c>
      <c r="L21" s="11">
        <f t="shared" si="3"/>
        <v>62.53</v>
      </c>
      <c r="M21" s="14">
        <f>$H$196</f>
        <v>16800</v>
      </c>
      <c r="N21" s="14">
        <f t="shared" si="4"/>
        <v>1050600</v>
      </c>
      <c r="O21" s="14">
        <f t="shared" si="5"/>
        <v>197972.45538000006</v>
      </c>
      <c r="P21" s="16">
        <v>85227.54</v>
      </c>
      <c r="Q21" s="16">
        <f>VLOOKUP(B21,[2]Sheet1!$C$2:$D$299,2,FALSE)</f>
        <v>85227.540000000008</v>
      </c>
      <c r="R21" s="17">
        <v>23000</v>
      </c>
      <c r="S21" s="18">
        <f t="shared" si="6"/>
        <v>-62227.540000000008</v>
      </c>
      <c r="T21" s="19">
        <f t="shared" si="7"/>
        <v>-62227.539999999994</v>
      </c>
      <c r="U21" s="20" t="str">
        <f t="shared" si="8"/>
        <v>ATRASADO</v>
      </c>
      <c r="V21" s="21">
        <f>VLOOKUP(B21,'[3]Deal List'!$F$4:$Q$302,8,FALSE)</f>
        <v>1</v>
      </c>
      <c r="W21" s="22" t="str">
        <f>VLOOKUP(B21,'[3]Deal List'!$F$4:$Q$302,9,FALSE)</f>
        <v>APROBADA</v>
      </c>
      <c r="X21" s="23">
        <f>VLOOKUP(B21,'[3]Deal List'!$F$4:$Q$302,12,FALSE)</f>
        <v>0</v>
      </c>
    </row>
    <row r="22" spans="1:24" x14ac:dyDescent="0.3">
      <c r="A22" s="9" t="s">
        <v>35</v>
      </c>
      <c r="B22" s="9">
        <v>1701</v>
      </c>
      <c r="C22" s="9" t="str">
        <f>VLOOKUP(B22,'[1]Matriz Precios A'!$B$3:$BN$301,2,FALSE)</f>
        <v>E6</v>
      </c>
      <c r="D22" s="10">
        <f>VLOOKUP(B22,'[1]Matriz Precios A'!$B$3:$BN$301,34,FALSE)</f>
        <v>1389570</v>
      </c>
      <c r="E22" s="11">
        <f>VLOOKUP(B22,'[1]Matriz Precios A'!$B$3:$BN$301,3,FALSE)</f>
        <v>74.260000000000005</v>
      </c>
      <c r="F22" s="11">
        <v>0</v>
      </c>
      <c r="G22" s="12">
        <f>VLOOKUP(B22,'[1]Matriz Precios A'!$B$3:$BP$301,7,FALSE)</f>
        <v>0</v>
      </c>
      <c r="H22" s="13">
        <f t="shared" si="0"/>
        <v>0</v>
      </c>
      <c r="I22" s="13">
        <f>VLOOKUP(B22,'[1]Matriz Precios A'!$B$3:$BP$301,8,FALSE)</f>
        <v>1</v>
      </c>
      <c r="J22" s="11">
        <f t="shared" si="1"/>
        <v>25</v>
      </c>
      <c r="K22" s="13">
        <f t="shared" si="2"/>
        <v>5.3</v>
      </c>
      <c r="L22" s="11">
        <f t="shared" si="3"/>
        <v>104.56</v>
      </c>
      <c r="M22" s="14">
        <f>$H$201</f>
        <v>15392.061955469506</v>
      </c>
      <c r="N22" s="14">
        <f t="shared" si="4"/>
        <v>1609400</v>
      </c>
      <c r="O22" s="14">
        <f t="shared" si="5"/>
        <v>219830</v>
      </c>
      <c r="P22" s="16">
        <v>139070</v>
      </c>
      <c r="Q22" s="16">
        <f>VLOOKUP(B22,[2]Sheet1!$C$2:$D$299,2,FALSE)</f>
        <v>139070</v>
      </c>
      <c r="R22" s="17">
        <v>79000</v>
      </c>
      <c r="S22" s="18">
        <f t="shared" si="6"/>
        <v>-60070</v>
      </c>
      <c r="T22" s="19">
        <f t="shared" si="7"/>
        <v>-60070</v>
      </c>
      <c r="U22" s="20" t="str">
        <f t="shared" si="8"/>
        <v>ATRASADO</v>
      </c>
      <c r="V22" s="21">
        <f>VLOOKUP(B22,'[3]Deal List'!$F$4:$Q$302,8,FALSE)</f>
        <v>1</v>
      </c>
      <c r="W22" s="22" t="str">
        <f>VLOOKUP(B22,'[3]Deal List'!$F$4:$Q$302,9,FALSE)</f>
        <v>DENEGADA</v>
      </c>
      <c r="X22" s="23" t="str">
        <f>VLOOKUP(B22,'[3]Deal List'!$F$4:$Q$302,12,FALSE)</f>
        <v>Cliente posee RCI del 59% (Adicionar otro deudor)</v>
      </c>
    </row>
    <row r="23" spans="1:24" x14ac:dyDescent="0.3">
      <c r="A23" s="9" t="s">
        <v>36</v>
      </c>
      <c r="B23" s="28">
        <v>1307</v>
      </c>
      <c r="C23" s="9" t="str">
        <f>VLOOKUP(B23,'[1]Matriz Precios A'!$B$3:$BN$301,2,FALSE)</f>
        <v>A12</v>
      </c>
      <c r="D23" s="33">
        <f>VLOOKUP(B23,'[1]Matriz Precios A'!$B$3:$BN$301,34,FALSE)</f>
        <v>678932</v>
      </c>
      <c r="E23" s="34">
        <f>VLOOKUP(B23,'[1]Matriz Precios A'!$B$3:$BN$301,3,FALSE)</f>
        <v>37.17</v>
      </c>
      <c r="F23" s="34">
        <v>0</v>
      </c>
      <c r="G23" s="35">
        <f>VLOOKUP(B23,'[1]Matriz Precios A'!$B$3:$BP$301,7,FALSE)</f>
        <v>1</v>
      </c>
      <c r="H23" s="22">
        <f t="shared" si="0"/>
        <v>12.5</v>
      </c>
      <c r="I23" s="22">
        <f>VLOOKUP(B23,'[1]Matriz Precios A'!$B$3:$BP$301,8,FALSE)</f>
        <v>0</v>
      </c>
      <c r="J23" s="34">
        <f t="shared" si="1"/>
        <v>0</v>
      </c>
      <c r="K23" s="22">
        <f t="shared" si="2"/>
        <v>0</v>
      </c>
      <c r="L23" s="34">
        <f t="shared" si="3"/>
        <v>49.67</v>
      </c>
      <c r="M23" s="30">
        <f>$H$195</f>
        <v>18865.9793814433</v>
      </c>
      <c r="N23" s="30">
        <f t="shared" si="4"/>
        <v>937100</v>
      </c>
      <c r="O23" s="30">
        <f t="shared" si="5"/>
        <v>258168</v>
      </c>
      <c r="P23" s="17">
        <v>67932</v>
      </c>
      <c r="Q23" s="16">
        <f>VLOOKUP(B23,[2]Sheet1!$C$2:$D$299,2,FALSE)</f>
        <v>67932</v>
      </c>
      <c r="R23" s="17">
        <v>8800</v>
      </c>
      <c r="S23" s="18">
        <f t="shared" si="6"/>
        <v>-59132</v>
      </c>
      <c r="T23" s="36">
        <f t="shared" si="7"/>
        <v>-59132</v>
      </c>
      <c r="U23" s="20" t="str">
        <f t="shared" si="8"/>
        <v>ATRASADO</v>
      </c>
      <c r="V23" s="37">
        <f>VLOOKUP(B23,'[3]Deal List'!$F$4:$Q$302,8,FALSE)</f>
        <v>1</v>
      </c>
      <c r="W23" s="22" t="str">
        <f>VLOOKUP(B23,'[3]Deal List'!$F$4:$Q$302,9,FALSE)</f>
        <v>APROBADA</v>
      </c>
      <c r="X23" s="38">
        <f>VLOOKUP(B23,'[3]Deal List'!$F$4:$Q$302,12,FALSE)</f>
        <v>0</v>
      </c>
    </row>
    <row r="24" spans="1:24" x14ac:dyDescent="0.3">
      <c r="A24" s="9" t="s">
        <v>37</v>
      </c>
      <c r="B24" s="9">
        <v>1610</v>
      </c>
      <c r="C24" s="9" t="str">
        <f>VLOOKUP(B24,'[1]Matriz Precios A'!$B$3:$BN$301,2,FALSE)</f>
        <v>B3</v>
      </c>
      <c r="D24" s="10">
        <f>VLOOKUP(B24,'[1]Matriz Precios A'!$B$3:$BN$301,34,FALSE)</f>
        <v>890081.34</v>
      </c>
      <c r="E24" s="11">
        <f>VLOOKUP(B24,'[1]Matriz Precios A'!$B$3:$BN$301,3,FALSE)</f>
        <v>48.96</v>
      </c>
      <c r="F24" s="11">
        <v>0</v>
      </c>
      <c r="G24" s="12">
        <f>VLOOKUP(B24,'[1]Matriz Precios A'!$B$3:$BP$301,7,FALSE)</f>
        <v>1</v>
      </c>
      <c r="H24" s="13">
        <f t="shared" si="0"/>
        <v>12.5</v>
      </c>
      <c r="I24" s="13">
        <f>VLOOKUP(B24,'[1]Matriz Precios A'!$B$3:$BP$301,8,FALSE)</f>
        <v>0</v>
      </c>
      <c r="J24" s="11">
        <f t="shared" si="1"/>
        <v>0</v>
      </c>
      <c r="K24" s="13">
        <f t="shared" si="2"/>
        <v>0</v>
      </c>
      <c r="L24" s="11">
        <f t="shared" si="3"/>
        <v>61.46</v>
      </c>
      <c r="M24" s="14">
        <f>$H$196</f>
        <v>16800</v>
      </c>
      <c r="N24" s="14">
        <f t="shared" si="4"/>
        <v>1032600</v>
      </c>
      <c r="O24" s="14">
        <f t="shared" si="5"/>
        <v>142518.66000000003</v>
      </c>
      <c r="P24" s="16">
        <v>890081.34</v>
      </c>
      <c r="Q24" s="16">
        <f>VLOOKUP(B24,[2]Sheet1!$C$2:$D$299,2,FALSE)</f>
        <v>890081.34</v>
      </c>
      <c r="R24" s="17">
        <v>831183.13</v>
      </c>
      <c r="S24" s="18">
        <f t="shared" si="6"/>
        <v>-58898.209999999963</v>
      </c>
      <c r="T24" s="19">
        <f t="shared" si="7"/>
        <v>-58898.209999999963</v>
      </c>
      <c r="U24" s="20" t="str">
        <f t="shared" si="8"/>
        <v>ATRASADO</v>
      </c>
      <c r="V24" s="21">
        <f>VLOOKUP(B24,'[3]Deal List'!$F$4:$Q$302,8,FALSE)</f>
        <v>1</v>
      </c>
      <c r="W24" s="22" t="str">
        <f>VLOOKUP(B24,'[3]Deal List'!$F$4:$Q$302,9,FALSE)</f>
        <v>APROBADA</v>
      </c>
      <c r="X24" s="23">
        <f>VLOOKUP(B24,'[3]Deal List'!$F$4:$Q$302,12,FALSE)</f>
        <v>0</v>
      </c>
    </row>
    <row r="25" spans="1:24" x14ac:dyDescent="0.3">
      <c r="A25" s="9" t="s">
        <v>38</v>
      </c>
      <c r="B25" s="9">
        <v>1403</v>
      </c>
      <c r="C25" s="9" t="str">
        <f>VLOOKUP(B25,'[1]Matriz Precios A'!$B$3:$BN$301,2,FALSE)</f>
        <v>B6</v>
      </c>
      <c r="D25" s="10">
        <f>VLOOKUP(B25,'[1]Matriz Precios A'!$B$3:$BN$301,34,FALSE)</f>
        <v>852627.54461999994</v>
      </c>
      <c r="E25" s="11">
        <f>VLOOKUP(B25,'[1]Matriz Precios A'!$B$3:$BN$301,3,FALSE)</f>
        <v>50.03</v>
      </c>
      <c r="F25" s="11">
        <v>0</v>
      </c>
      <c r="G25" s="12">
        <f>VLOOKUP(B25,'[1]Matriz Precios A'!$B$3:$BP$301,7,FALSE)</f>
        <v>1</v>
      </c>
      <c r="H25" s="13">
        <f t="shared" si="0"/>
        <v>12.5</v>
      </c>
      <c r="I25" s="13">
        <f>VLOOKUP(B25,'[1]Matriz Precios A'!$B$3:$BP$301,8,FALSE)</f>
        <v>0</v>
      </c>
      <c r="J25" s="11">
        <f t="shared" si="1"/>
        <v>0</v>
      </c>
      <c r="K25" s="13">
        <f t="shared" si="2"/>
        <v>0</v>
      </c>
      <c r="L25" s="11">
        <f t="shared" si="3"/>
        <v>62.53</v>
      </c>
      <c r="M25" s="14">
        <f>$H$196</f>
        <v>16800</v>
      </c>
      <c r="N25" s="14">
        <f t="shared" si="4"/>
        <v>1050600</v>
      </c>
      <c r="O25" s="14">
        <f t="shared" si="5"/>
        <v>197972.45538000006</v>
      </c>
      <c r="P25" s="16">
        <v>85327.54</v>
      </c>
      <c r="Q25" s="16">
        <f>VLOOKUP(B25,[2]Sheet1!$C$2:$D$299,2,FALSE)</f>
        <v>85327.54</v>
      </c>
      <c r="R25" s="17">
        <v>30926</v>
      </c>
      <c r="S25" s="18">
        <f t="shared" si="6"/>
        <v>-54401.539999999994</v>
      </c>
      <c r="T25" s="19">
        <f t="shared" si="7"/>
        <v>-54401.539999999994</v>
      </c>
      <c r="U25" s="20" t="str">
        <f t="shared" si="8"/>
        <v>ATRASADO</v>
      </c>
      <c r="V25" s="21">
        <f>VLOOKUP(B25,'[3]Deal List'!$F$4:$Q$302,8,FALSE)</f>
        <v>1</v>
      </c>
      <c r="W25" s="22" t="str">
        <f>VLOOKUP(B25,'[3]Deal List'!$F$4:$Q$302,9,FALSE)</f>
        <v>APROBADA</v>
      </c>
      <c r="X25" s="23">
        <f>VLOOKUP(B25,'[3]Deal List'!$F$4:$Q$302,12,FALSE)</f>
        <v>0</v>
      </c>
    </row>
    <row r="26" spans="1:24" x14ac:dyDescent="0.3">
      <c r="A26" s="27" t="s">
        <v>39</v>
      </c>
      <c r="B26" s="27">
        <v>611</v>
      </c>
      <c r="C26" s="9" t="str">
        <f>VLOOKUP(B26,'[1]Matriz Precios A'!$B$3:$BN$301,2,FALSE)</f>
        <v>C5</v>
      </c>
      <c r="D26" s="10">
        <f>VLOOKUP(B26,'[1]Matriz Precios A'!$B$3:$BN$301,34,FALSE)</f>
        <v>1381446.6987563099</v>
      </c>
      <c r="E26" s="11">
        <f>VLOOKUP(B26,'[1]Matriz Precios A'!$B$3:$BN$301,3,FALSE)</f>
        <v>54.86</v>
      </c>
      <c r="F26" s="11">
        <v>0</v>
      </c>
      <c r="G26" s="12">
        <f>VLOOKUP(B26,'[1]Matriz Precios A'!$B$3:$BP$301,7,FALSE)</f>
        <v>0</v>
      </c>
      <c r="H26" s="13">
        <f t="shared" si="0"/>
        <v>0</v>
      </c>
      <c r="I26" s="13">
        <f>VLOOKUP(B26,'[1]Matriz Precios A'!$B$3:$BP$301,8,FALSE)</f>
        <v>1</v>
      </c>
      <c r="J26" s="11">
        <f t="shared" si="1"/>
        <v>25</v>
      </c>
      <c r="K26" s="13">
        <f t="shared" si="2"/>
        <v>5.3</v>
      </c>
      <c r="L26" s="11">
        <f t="shared" si="3"/>
        <v>85.16</v>
      </c>
      <c r="M26" s="14">
        <f>$H$199</f>
        <v>15826.494724501759</v>
      </c>
      <c r="N26" s="14">
        <f t="shared" si="4"/>
        <v>1347800</v>
      </c>
      <c r="O26" s="32">
        <f t="shared" si="5"/>
        <v>-33646.698756309925</v>
      </c>
      <c r="P26" s="15">
        <v>276346.7</v>
      </c>
      <c r="Q26" s="16">
        <f>VLOOKUP(B26,[2]Sheet1!$C$2:$D$299,2,FALSE)</f>
        <v>214880</v>
      </c>
      <c r="R26" s="17">
        <v>163416</v>
      </c>
      <c r="S26" s="18">
        <f t="shared" si="6"/>
        <v>-51464</v>
      </c>
      <c r="T26" s="19">
        <f t="shared" si="7"/>
        <v>-112930.70000000001</v>
      </c>
      <c r="U26" s="20" t="str">
        <f t="shared" si="8"/>
        <v>ATRASADO</v>
      </c>
      <c r="V26" s="21">
        <f>VLOOKUP(B26,'[3]Deal List'!$F$4:$Q$302,8,FALSE)</f>
        <v>2</v>
      </c>
      <c r="W26" s="22" t="str">
        <f>VLOOKUP(B26,'[3]Deal List'!$F$4:$Q$302,9,FALSE)</f>
        <v>DENEGADA</v>
      </c>
      <c r="X26" s="23" t="str">
        <f>VLOOKUP(B26,'[3]Deal List'!$F$4:$Q$302,12,FALSE)</f>
        <v>Cliente no posee NIT, guatemalteco en el Extranjero.</v>
      </c>
    </row>
    <row r="27" spans="1:24" x14ac:dyDescent="0.3">
      <c r="A27" s="9" t="s">
        <v>40</v>
      </c>
      <c r="B27" s="28">
        <v>1504</v>
      </c>
      <c r="C27" s="9" t="str">
        <f>VLOOKUP(B27,'[1]Matriz Precios A'!$B$3:$BN$301,2,FALSE)</f>
        <v>B1</v>
      </c>
      <c r="D27" s="10">
        <f>VLOOKUP(B27,'[1]Matriz Precios A'!$B$3:$BN$301,34,FALSE)</f>
        <v>883300</v>
      </c>
      <c r="E27" s="11">
        <f>VLOOKUP(B27,'[1]Matriz Precios A'!$B$3:$BN$301,3,FALSE)</f>
        <v>48.69</v>
      </c>
      <c r="F27" s="11">
        <v>0</v>
      </c>
      <c r="G27" s="12">
        <f>VLOOKUP(B27,'[1]Matriz Precios A'!$B$3:$BP$301,7,FALSE)</f>
        <v>1</v>
      </c>
      <c r="H27" s="13">
        <f t="shared" si="0"/>
        <v>12.5</v>
      </c>
      <c r="I27" s="13">
        <f>VLOOKUP(B27,'[1]Matriz Precios A'!$B$3:$BP$301,8,FALSE)</f>
        <v>0</v>
      </c>
      <c r="J27" s="11">
        <f t="shared" si="1"/>
        <v>0</v>
      </c>
      <c r="K27" s="13">
        <f t="shared" si="2"/>
        <v>0</v>
      </c>
      <c r="L27" s="11">
        <f t="shared" si="3"/>
        <v>61.19</v>
      </c>
      <c r="M27" s="14">
        <f>$H$196</f>
        <v>16800</v>
      </c>
      <c r="N27" s="14">
        <f t="shared" si="4"/>
        <v>1028000</v>
      </c>
      <c r="O27" s="14">
        <f t="shared" si="5"/>
        <v>144700</v>
      </c>
      <c r="P27" s="16">
        <v>88400</v>
      </c>
      <c r="Q27" s="16">
        <f>VLOOKUP(B27,[2]Sheet1!$C$2:$D$299,2,FALSE)</f>
        <v>88800</v>
      </c>
      <c r="R27" s="17">
        <v>38000</v>
      </c>
      <c r="S27" s="18">
        <f t="shared" si="6"/>
        <v>-50800</v>
      </c>
      <c r="T27" s="19">
        <f t="shared" si="7"/>
        <v>-50400</v>
      </c>
      <c r="U27" s="20" t="str">
        <f t="shared" si="8"/>
        <v>ATRASADO</v>
      </c>
      <c r="V27" s="21">
        <f>VLOOKUP(B27,'[3]Deal List'!$F$4:$Q$302,8,FALSE)</f>
        <v>1</v>
      </c>
      <c r="W27" s="22" t="str">
        <f>VLOOKUP(B27,'[3]Deal List'!$F$4:$Q$302,9,FALSE)</f>
        <v>APROBADA</v>
      </c>
      <c r="X27" s="23">
        <f>VLOOKUP(B27,'[3]Deal List'!$F$4:$Q$302,12,FALSE)</f>
        <v>0</v>
      </c>
    </row>
    <row r="28" spans="1:24" x14ac:dyDescent="0.3">
      <c r="A28" s="9" t="s">
        <v>41</v>
      </c>
      <c r="B28" s="9">
        <v>615</v>
      </c>
      <c r="C28" s="9" t="str">
        <f>VLOOKUP(B28,'[1]Matriz Precios A'!$B$3:$BN$301,2,FALSE)</f>
        <v>A5</v>
      </c>
      <c r="D28" s="10">
        <f>VLOOKUP(B28,'[1]Matriz Precios A'!$B$3:$BN$301,34,FALSE)</f>
        <v>611950.009005</v>
      </c>
      <c r="E28" s="11">
        <f>VLOOKUP(B28,'[1]Matriz Precios A'!$B$3:$BN$301,3,FALSE)</f>
        <v>32.57</v>
      </c>
      <c r="F28" s="11">
        <v>0</v>
      </c>
      <c r="G28" s="12">
        <f>VLOOKUP(B28,'[1]Matriz Precios A'!$B$3:$BP$301,7,FALSE)</f>
        <v>1</v>
      </c>
      <c r="H28" s="13">
        <f t="shared" si="0"/>
        <v>12.5</v>
      </c>
      <c r="I28" s="13">
        <f>VLOOKUP(B28,'[1]Matriz Precios A'!$B$3:$BP$301,8,FALSE)</f>
        <v>0</v>
      </c>
      <c r="J28" s="11">
        <f t="shared" si="1"/>
        <v>0</v>
      </c>
      <c r="K28" s="13">
        <f t="shared" si="2"/>
        <v>0</v>
      </c>
      <c r="L28" s="11">
        <f t="shared" si="3"/>
        <v>45.07</v>
      </c>
      <c r="M28" s="14">
        <f>$H$195</f>
        <v>18865.9793814433</v>
      </c>
      <c r="N28" s="14">
        <f t="shared" si="4"/>
        <v>850300</v>
      </c>
      <c r="O28" s="14">
        <f t="shared" si="5"/>
        <v>238349.990995</v>
      </c>
      <c r="P28" s="16">
        <v>61250.01</v>
      </c>
      <c r="Q28" s="16">
        <f>VLOOKUP(B28,[2]Sheet1!$C$2:$D$299,2,FALSE)</f>
        <v>61250.01</v>
      </c>
      <c r="R28" s="17">
        <v>14000</v>
      </c>
      <c r="S28" s="18">
        <f t="shared" si="6"/>
        <v>-47250.01</v>
      </c>
      <c r="T28" s="19">
        <f t="shared" si="7"/>
        <v>-47250.01</v>
      </c>
      <c r="U28" s="20" t="str">
        <f t="shared" si="8"/>
        <v>ATRASADO</v>
      </c>
      <c r="V28" s="21">
        <f>VLOOKUP(B28,'[3]Deal List'!$F$4:$Q$302,8,FALSE)</f>
        <v>1</v>
      </c>
      <c r="W28" s="22" t="str">
        <f>VLOOKUP(B28,'[3]Deal List'!$F$4:$Q$302,9,FALSE)</f>
        <v>APROBADA</v>
      </c>
      <c r="X28" s="23">
        <f>VLOOKUP(B28,'[3]Deal List'!$F$4:$Q$302,12,FALSE)</f>
        <v>0</v>
      </c>
    </row>
    <row r="29" spans="1:24" x14ac:dyDescent="0.3">
      <c r="A29" s="9" t="s">
        <v>42</v>
      </c>
      <c r="B29" s="28">
        <v>1706</v>
      </c>
      <c r="C29" s="9" t="str">
        <f>VLOOKUP(B29,'[1]Matriz Precios A'!$B$3:$BN$301,2,FALSE)</f>
        <v>B4</v>
      </c>
      <c r="D29" s="10">
        <f>VLOOKUP(B29,'[1]Matriz Precios A'!$B$3:$BN$301,34,FALSE)</f>
        <v>860951</v>
      </c>
      <c r="E29" s="11">
        <f>VLOOKUP(B29,'[1]Matriz Precios A'!$B$3:$BN$301,3,FALSE)</f>
        <v>49.77</v>
      </c>
      <c r="F29" s="11">
        <v>0</v>
      </c>
      <c r="G29" s="12">
        <f>VLOOKUP(B29,'[1]Matriz Precios A'!$B$3:$BP$301,7,FALSE)</f>
        <v>1</v>
      </c>
      <c r="H29" s="13">
        <f t="shared" si="0"/>
        <v>12.5</v>
      </c>
      <c r="I29" s="13">
        <f>VLOOKUP(B29,'[1]Matriz Precios A'!$B$3:$BP$301,8,FALSE)</f>
        <v>0</v>
      </c>
      <c r="J29" s="11">
        <f t="shared" si="1"/>
        <v>0</v>
      </c>
      <c r="K29" s="13">
        <f t="shared" si="2"/>
        <v>0</v>
      </c>
      <c r="L29" s="11">
        <f t="shared" si="3"/>
        <v>62.27</v>
      </c>
      <c r="M29" s="14">
        <f>$H$196</f>
        <v>16800</v>
      </c>
      <c r="N29" s="14">
        <f t="shared" si="4"/>
        <v>1046200</v>
      </c>
      <c r="O29" s="14">
        <f t="shared" si="5"/>
        <v>185249</v>
      </c>
      <c r="P29" s="16">
        <v>87051</v>
      </c>
      <c r="Q29" s="16">
        <f>VLOOKUP(B29,[2]Sheet1!$C$2:$D$299,2,FALSE)</f>
        <v>87051</v>
      </c>
      <c r="R29" s="17">
        <v>46800</v>
      </c>
      <c r="S29" s="18">
        <f t="shared" si="6"/>
        <v>-40251</v>
      </c>
      <c r="T29" s="19">
        <f t="shared" si="7"/>
        <v>-40251</v>
      </c>
      <c r="U29" s="20" t="str">
        <f t="shared" si="8"/>
        <v>ATRASADO</v>
      </c>
      <c r="V29" s="21">
        <f>VLOOKUP(B29,'[3]Deal List'!$F$4:$Q$302,8,FALSE)</f>
        <v>1</v>
      </c>
      <c r="W29" s="22" t="str">
        <f>VLOOKUP(B29,'[3]Deal List'!$F$4:$Q$302,9,FALSE)</f>
        <v>N/A</v>
      </c>
      <c r="X29" s="23">
        <f>VLOOKUP(B29,'[3]Deal List'!$F$4:$Q$302,12,FALSE)</f>
        <v>0</v>
      </c>
    </row>
    <row r="30" spans="1:24" s="39" customFormat="1" x14ac:dyDescent="0.3">
      <c r="A30" s="31" t="s">
        <v>33</v>
      </c>
      <c r="B30" s="26">
        <v>1216</v>
      </c>
      <c r="C30" s="9" t="str">
        <f>VLOOKUP(B30,'[1]Matriz Precios A'!$B$3:$BN$301,2,FALSE)</f>
        <v>B3</v>
      </c>
      <c r="D30" s="10">
        <f>VLOOKUP(B30,'[1]Matriz Precios A'!$B$3:$BN$301,34,FALSE)</f>
        <v>1126261.8195599201</v>
      </c>
      <c r="E30" s="11">
        <f>VLOOKUP(B30,'[1]Matriz Precios A'!$B$3:$BN$301,3,FALSE)</f>
        <v>48.96</v>
      </c>
      <c r="F30" s="11">
        <v>0</v>
      </c>
      <c r="G30" s="12">
        <f>VLOOKUP(B30,'[1]Matriz Precios A'!$B$3:$BP$301,7,FALSE)</f>
        <v>1</v>
      </c>
      <c r="H30" s="13">
        <f t="shared" si="0"/>
        <v>12.5</v>
      </c>
      <c r="I30" s="13">
        <f>VLOOKUP(B30,'[1]Matriz Precios A'!$B$3:$BP$301,8,FALSE)</f>
        <v>0</v>
      </c>
      <c r="J30" s="11">
        <f t="shared" si="1"/>
        <v>0</v>
      </c>
      <c r="K30" s="13">
        <f t="shared" si="2"/>
        <v>0</v>
      </c>
      <c r="L30" s="11">
        <f t="shared" si="3"/>
        <v>61.46</v>
      </c>
      <c r="M30" s="14">
        <f>$H$196</f>
        <v>16800</v>
      </c>
      <c r="N30" s="14">
        <f t="shared" si="4"/>
        <v>1032600</v>
      </c>
      <c r="O30" s="32">
        <f t="shared" si="5"/>
        <v>-93661.819559920114</v>
      </c>
      <c r="P30" s="15">
        <v>1039156.15</v>
      </c>
      <c r="Q30" s="16">
        <f>VLOOKUP(B30,[2]Sheet1!$C$2:$D$299,2,FALSE)</f>
        <v>744278.08000000007</v>
      </c>
      <c r="R30" s="17">
        <v>704525.08000000007</v>
      </c>
      <c r="S30" s="18">
        <f t="shared" si="6"/>
        <v>-39753</v>
      </c>
      <c r="T30" s="19">
        <f t="shared" si="7"/>
        <v>-334631.06999999995</v>
      </c>
      <c r="U30" s="20" t="str">
        <f t="shared" si="8"/>
        <v>ATRASADO</v>
      </c>
      <c r="V30" s="21">
        <f>VLOOKUP(B30,'[3]Deal List'!$F$4:$Q$302,8,FALSE)</f>
        <v>3</v>
      </c>
      <c r="W30" s="22" t="str">
        <f>VLOOKUP(B30,'[3]Deal List'!$F$4:$Q$302,9,FALSE)</f>
        <v>APROBADA</v>
      </c>
      <c r="X30" s="23">
        <f>VLOOKUP(B30,'[3]Deal List'!$F$4:$Q$302,12,FALSE)</f>
        <v>0</v>
      </c>
    </row>
    <row r="31" spans="1:24" x14ac:dyDescent="0.3">
      <c r="A31" s="27" t="s">
        <v>43</v>
      </c>
      <c r="B31" s="27">
        <v>102</v>
      </c>
      <c r="C31" s="9" t="str">
        <f>VLOOKUP(B31,'[1]Matriz Precios A'!$B$3:$BN$301,2,FALSE)</f>
        <v>B4.1</v>
      </c>
      <c r="D31" s="10">
        <f>VLOOKUP(B31,'[1]Matriz Precios A'!$B$3:$BN$301,34,FALSE)</f>
        <v>1228914.9782408699</v>
      </c>
      <c r="E31" s="11">
        <f>VLOOKUP(B31,'[1]Matriz Precios A'!$B$3:$BN$301,3,FALSE)</f>
        <v>48.31</v>
      </c>
      <c r="F31" s="11">
        <f>VLOOKUP(B31,'[1]Matriz Precios A'!$B$3:$BN$301,6,FALSE)</f>
        <v>13.04</v>
      </c>
      <c r="G31" s="12">
        <f>VLOOKUP(B31,'[1]Matriz Precios A'!$B$3:$BP$301,7,FALSE)</f>
        <v>1</v>
      </c>
      <c r="H31" s="13">
        <f t="shared" si="0"/>
        <v>12.5</v>
      </c>
      <c r="I31" s="13">
        <f>VLOOKUP(B31,'[1]Matriz Precios A'!$B$3:$BP$301,8,FALSE)</f>
        <v>0</v>
      </c>
      <c r="J31" s="11">
        <f t="shared" si="1"/>
        <v>0</v>
      </c>
      <c r="K31" s="13">
        <f t="shared" si="2"/>
        <v>0</v>
      </c>
      <c r="L31" s="11">
        <f t="shared" si="3"/>
        <v>73.849999999999994</v>
      </c>
      <c r="M31" s="14">
        <f>$H$196</f>
        <v>16800</v>
      </c>
      <c r="N31" s="14">
        <f t="shared" si="4"/>
        <v>1240700</v>
      </c>
      <c r="O31" s="14">
        <f t="shared" si="5"/>
        <v>11785.021759130061</v>
      </c>
      <c r="P31" s="15">
        <v>230820</v>
      </c>
      <c r="Q31" s="16">
        <f>VLOOKUP(B31,[2]Sheet1!$C$2:$D$299,2,FALSE)</f>
        <v>83606</v>
      </c>
      <c r="R31" s="17">
        <v>46803</v>
      </c>
      <c r="S31" s="18">
        <f t="shared" si="6"/>
        <v>-36803</v>
      </c>
      <c r="T31" s="19">
        <f t="shared" si="7"/>
        <v>-184017</v>
      </c>
      <c r="U31" s="20" t="str">
        <f t="shared" si="8"/>
        <v>ATRASADO</v>
      </c>
      <c r="V31" s="21">
        <f>VLOOKUP(B31,'[3]Deal List'!$F$4:$Q$302,8,FALSE)</f>
        <v>4</v>
      </c>
      <c r="W31" s="22" t="str">
        <f>VLOOKUP(B31,'[3]Deal List'!$F$4:$Q$302,9,FALSE)</f>
        <v>APROBADA</v>
      </c>
      <c r="X31" s="23">
        <f>VLOOKUP(B31,'[3]Deal List'!$F$4:$Q$302,12,FALSE)</f>
        <v>0</v>
      </c>
    </row>
    <row r="32" spans="1:24" x14ac:dyDescent="0.3">
      <c r="A32" s="9" t="s">
        <v>42</v>
      </c>
      <c r="B32" s="28">
        <v>1207</v>
      </c>
      <c r="C32" s="9" t="str">
        <f>VLOOKUP(B32,'[1]Matriz Precios A'!$B$3:$BN$301,2,FALSE)</f>
        <v>A12</v>
      </c>
      <c r="D32" s="10">
        <f>VLOOKUP(B32,'[1]Matriz Precios A'!$B$3:$BN$301,34,FALSE)</f>
        <v>678932</v>
      </c>
      <c r="E32" s="11">
        <f>VLOOKUP(B32,'[1]Matriz Precios A'!$B$3:$BN$301,3,FALSE)</f>
        <v>37.17</v>
      </c>
      <c r="F32" s="11">
        <v>0</v>
      </c>
      <c r="G32" s="12">
        <f>VLOOKUP(B32,'[1]Matriz Precios A'!$B$3:$BP$301,7,FALSE)</f>
        <v>1</v>
      </c>
      <c r="H32" s="13">
        <f t="shared" si="0"/>
        <v>12.5</v>
      </c>
      <c r="I32" s="13">
        <f>VLOOKUP(B32,'[1]Matriz Precios A'!$B$3:$BP$301,8,FALSE)</f>
        <v>0</v>
      </c>
      <c r="J32" s="11">
        <f t="shared" si="1"/>
        <v>0</v>
      </c>
      <c r="K32" s="13">
        <f t="shared" si="2"/>
        <v>0</v>
      </c>
      <c r="L32" s="11">
        <f t="shared" si="3"/>
        <v>49.67</v>
      </c>
      <c r="M32" s="14">
        <f>$H$195</f>
        <v>18865.9793814433</v>
      </c>
      <c r="N32" s="14">
        <f t="shared" si="4"/>
        <v>937100</v>
      </c>
      <c r="O32" s="14">
        <f t="shared" si="5"/>
        <v>258168</v>
      </c>
      <c r="P32" s="16">
        <v>67932</v>
      </c>
      <c r="Q32" s="16">
        <f>VLOOKUP(B32,[2]Sheet1!$C$2:$D$299,2,FALSE)</f>
        <v>67932</v>
      </c>
      <c r="R32" s="17">
        <v>31500</v>
      </c>
      <c r="S32" s="18">
        <f t="shared" si="6"/>
        <v>-36432</v>
      </c>
      <c r="T32" s="19">
        <f t="shared" si="7"/>
        <v>-36432</v>
      </c>
      <c r="U32" s="20" t="str">
        <f t="shared" si="8"/>
        <v>ATRASADO</v>
      </c>
      <c r="V32" s="21">
        <f>VLOOKUP(B32,'[3]Deal List'!$F$4:$Q$302,8,FALSE)</f>
        <v>1</v>
      </c>
      <c r="W32" s="22" t="str">
        <f>VLOOKUP(B32,'[3]Deal List'!$F$4:$Q$302,9,FALSE)</f>
        <v>N/A</v>
      </c>
      <c r="X32" s="23">
        <f>VLOOKUP(B32,'[3]Deal List'!$F$4:$Q$302,12,FALSE)</f>
        <v>0</v>
      </c>
    </row>
    <row r="33" spans="1:24" x14ac:dyDescent="0.3">
      <c r="A33" s="9" t="s">
        <v>44</v>
      </c>
      <c r="B33" s="9">
        <v>901</v>
      </c>
      <c r="C33" s="9" t="str">
        <f>VLOOKUP(B33,'[1]Matriz Precios A'!$B$3:$BN$301,2,FALSE)</f>
        <v>C4</v>
      </c>
      <c r="D33" s="10">
        <f>VLOOKUP(B33,'[1]Matriz Precios A'!$B$3:$BN$301,34,FALSE)</f>
        <v>1087062.8421799999</v>
      </c>
      <c r="E33" s="11">
        <f>VLOOKUP(B33,'[1]Matriz Precios A'!$B$3:$BN$301,3,FALSE)</f>
        <v>54.09</v>
      </c>
      <c r="F33" s="11">
        <v>0</v>
      </c>
      <c r="G33" s="12">
        <f>VLOOKUP(B33,'[1]Matriz Precios A'!$B$3:$BP$301,7,FALSE)</f>
        <v>0</v>
      </c>
      <c r="H33" s="13">
        <f t="shared" si="0"/>
        <v>0</v>
      </c>
      <c r="I33" s="13">
        <f>VLOOKUP(B33,'[1]Matriz Precios A'!$B$3:$BP$301,8,FALSE)</f>
        <v>1</v>
      </c>
      <c r="J33" s="11">
        <f t="shared" si="1"/>
        <v>25</v>
      </c>
      <c r="K33" s="13">
        <f t="shared" si="2"/>
        <v>5.3</v>
      </c>
      <c r="L33" s="11">
        <f t="shared" si="3"/>
        <v>84.39</v>
      </c>
      <c r="M33" s="14">
        <f>$H$199</f>
        <v>15826.494724501759</v>
      </c>
      <c r="N33" s="14">
        <f t="shared" si="4"/>
        <v>1335600</v>
      </c>
      <c r="O33" s="14">
        <f t="shared" si="5"/>
        <v>248537.15782000008</v>
      </c>
      <c r="P33" s="16">
        <v>108762.84</v>
      </c>
      <c r="Q33" s="16">
        <f>VLOOKUP(B33,[2]Sheet1!$C$2:$D$299,2,FALSE)</f>
        <v>108762.84</v>
      </c>
      <c r="R33" s="17">
        <v>73528</v>
      </c>
      <c r="S33" s="18">
        <f t="shared" si="6"/>
        <v>-35234.839999999997</v>
      </c>
      <c r="T33" s="19">
        <f t="shared" si="7"/>
        <v>-35234.839999999997</v>
      </c>
      <c r="U33" s="20" t="str">
        <f t="shared" si="8"/>
        <v>ATRASADO</v>
      </c>
      <c r="V33" s="21">
        <f>VLOOKUP(B33,'[3]Deal List'!$F$4:$Q$302,8,FALSE)</f>
        <v>1</v>
      </c>
      <c r="W33" s="22" t="str">
        <f>VLOOKUP(B33,'[3]Deal List'!$F$4:$Q$302,9,FALSE)</f>
        <v>N/A</v>
      </c>
      <c r="X33" s="23">
        <f>VLOOKUP(B33,'[3]Deal List'!$F$4:$Q$302,12,FALSE)</f>
        <v>0</v>
      </c>
    </row>
    <row r="34" spans="1:24" x14ac:dyDescent="0.3">
      <c r="A34" s="9" t="s">
        <v>45</v>
      </c>
      <c r="B34" s="9">
        <v>114</v>
      </c>
      <c r="C34" s="9" t="str">
        <f>VLOOKUP(B34,'[1]Matriz Precios A'!$B$3:$BN$301,2,FALSE)</f>
        <v>C2.1</v>
      </c>
      <c r="D34" s="10">
        <f>VLOOKUP(B34,'[1]Matriz Precios A'!$B$3:$BN$301,34,FALSE)</f>
        <v>993625.74667999998</v>
      </c>
      <c r="E34" s="11">
        <f>VLOOKUP(B34,'[1]Matriz Precios A'!$B$3:$BN$301,3,FALSE)</f>
        <v>53.260000000000005</v>
      </c>
      <c r="F34" s="11">
        <f>VLOOKUP(B34,'[1]Matriz Precios A'!$B$3:$BN$301,6,FALSE)</f>
        <v>14.89</v>
      </c>
      <c r="G34" s="12">
        <f>VLOOKUP(B34,'[1]Matriz Precios A'!$B$3:$BP$301,7,FALSE)</f>
        <v>1</v>
      </c>
      <c r="H34" s="13">
        <f t="shared" si="0"/>
        <v>12.5</v>
      </c>
      <c r="I34" s="13">
        <f>VLOOKUP(B34,'[1]Matriz Precios A'!$B$3:$BP$301,8,FALSE)</f>
        <v>0</v>
      </c>
      <c r="J34" s="11">
        <f t="shared" si="1"/>
        <v>0</v>
      </c>
      <c r="K34" s="13">
        <f t="shared" si="2"/>
        <v>0</v>
      </c>
      <c r="L34" s="11">
        <f t="shared" si="3"/>
        <v>80.650000000000006</v>
      </c>
      <c r="M34" s="14">
        <f>$H$198</f>
        <v>16888.888888888891</v>
      </c>
      <c r="N34" s="14">
        <f t="shared" si="4"/>
        <v>1362100</v>
      </c>
      <c r="O34" s="14">
        <f t="shared" si="5"/>
        <v>368474.25332000002</v>
      </c>
      <c r="P34" s="16">
        <v>99425.75</v>
      </c>
      <c r="Q34" s="16">
        <f>VLOOKUP(B34,[2]Sheet1!$C$2:$D$299,2,FALSE)</f>
        <v>99425.75</v>
      </c>
      <c r="R34" s="17">
        <v>64718</v>
      </c>
      <c r="S34" s="18">
        <f t="shared" si="6"/>
        <v>-34707.75</v>
      </c>
      <c r="T34" s="19">
        <f t="shared" si="7"/>
        <v>-34707.75</v>
      </c>
      <c r="U34" s="20" t="str">
        <f t="shared" si="8"/>
        <v>ATRASADO</v>
      </c>
      <c r="V34" s="21">
        <f>VLOOKUP(B34,'[3]Deal List'!$F$4:$Q$302,8,FALSE)</f>
        <v>1</v>
      </c>
      <c r="W34" s="22" t="str">
        <f>VLOOKUP(B34,'[3]Deal List'!$F$4:$Q$302,9,FALSE)</f>
        <v>N/A</v>
      </c>
      <c r="X34" s="23">
        <f>VLOOKUP(B34,'[3]Deal List'!$F$4:$Q$302,12,FALSE)</f>
        <v>0</v>
      </c>
    </row>
    <row r="35" spans="1:24" x14ac:dyDescent="0.3">
      <c r="A35" s="27" t="s">
        <v>46</v>
      </c>
      <c r="B35" s="27">
        <v>708</v>
      </c>
      <c r="C35" s="9" t="str">
        <f>VLOOKUP(B35,'[1]Matriz Precios A'!$B$3:$BN$301,2,FALSE)</f>
        <v>C6</v>
      </c>
      <c r="D35" s="10">
        <f>VLOOKUP(B35,'[1]Matriz Precios A'!$B$3:$BN$301,34,FALSE)</f>
        <v>1183693</v>
      </c>
      <c r="E35" s="11">
        <f>VLOOKUP(B35,'[1]Matriz Precios A'!$B$3:$BN$301,3,FALSE)</f>
        <v>55</v>
      </c>
      <c r="F35" s="11">
        <v>0</v>
      </c>
      <c r="G35" s="12">
        <f>VLOOKUP(B35,'[1]Matriz Precios A'!$B$3:$BP$301,7,FALSE)</f>
        <v>0</v>
      </c>
      <c r="H35" s="13">
        <f t="shared" si="0"/>
        <v>0</v>
      </c>
      <c r="I35" s="13">
        <f>VLOOKUP(B35,'[1]Matriz Precios A'!$B$3:$BP$301,8,FALSE)</f>
        <v>1</v>
      </c>
      <c r="J35" s="11">
        <f t="shared" si="1"/>
        <v>25</v>
      </c>
      <c r="K35" s="13">
        <f t="shared" si="2"/>
        <v>5.3</v>
      </c>
      <c r="L35" s="11">
        <f t="shared" si="3"/>
        <v>85.3</v>
      </c>
      <c r="M35" s="14">
        <f>$H$199</f>
        <v>15826.494724501759</v>
      </c>
      <c r="N35" s="14">
        <f t="shared" si="4"/>
        <v>1350000</v>
      </c>
      <c r="O35" s="14">
        <f t="shared" si="5"/>
        <v>166307</v>
      </c>
      <c r="P35" s="15">
        <v>118393</v>
      </c>
      <c r="Q35" s="16">
        <f>VLOOKUP(B35,[2]Sheet1!$C$2:$D$299,2,FALSE)</f>
        <v>118393</v>
      </c>
      <c r="R35" s="17">
        <v>84600</v>
      </c>
      <c r="S35" s="18">
        <f t="shared" si="6"/>
        <v>-33793</v>
      </c>
      <c r="T35" s="19">
        <f t="shared" si="7"/>
        <v>-33793</v>
      </c>
      <c r="U35" s="20" t="str">
        <f t="shared" si="8"/>
        <v>ATRASADO</v>
      </c>
      <c r="V35" s="21">
        <f>VLOOKUP(B35,'[3]Deal List'!$F$4:$Q$302,8,FALSE)</f>
        <v>2</v>
      </c>
      <c r="W35" s="22" t="str">
        <f>VLOOKUP(B35,'[3]Deal List'!$F$4:$Q$302,9,FALSE)</f>
        <v>APROBADA</v>
      </c>
      <c r="X35" s="23">
        <f>VLOOKUP(B35,'[3]Deal List'!$F$4:$Q$302,12,FALSE)</f>
        <v>0</v>
      </c>
    </row>
    <row r="36" spans="1:24" x14ac:dyDescent="0.3">
      <c r="A36" s="29" t="s">
        <v>47</v>
      </c>
      <c r="B36" s="29">
        <v>608</v>
      </c>
      <c r="C36" s="9" t="str">
        <f>VLOOKUP(B36,'[1]Matriz Precios A'!$B$3:$BN$301,2,FALSE)</f>
        <v>C6</v>
      </c>
      <c r="D36" s="10">
        <f>VLOOKUP(B36,'[1]Matriz Precios A'!$B$3:$BN$301,34,FALSE)</f>
        <v>1183693</v>
      </c>
      <c r="E36" s="11">
        <f>VLOOKUP(B36,'[1]Matriz Precios A'!$B$3:$BN$301,3,FALSE)</f>
        <v>55</v>
      </c>
      <c r="F36" s="11">
        <v>0</v>
      </c>
      <c r="G36" s="12">
        <f>VLOOKUP(B36,'[1]Matriz Precios A'!$B$3:$BP$301,7,FALSE)</f>
        <v>0</v>
      </c>
      <c r="H36" s="13">
        <f t="shared" si="0"/>
        <v>0</v>
      </c>
      <c r="I36" s="13">
        <f>VLOOKUP(B36,'[1]Matriz Precios A'!$B$3:$BP$301,8,FALSE)</f>
        <v>1</v>
      </c>
      <c r="J36" s="11">
        <f t="shared" si="1"/>
        <v>25</v>
      </c>
      <c r="K36" s="13">
        <f t="shared" si="2"/>
        <v>5.3</v>
      </c>
      <c r="L36" s="11">
        <f t="shared" si="3"/>
        <v>85.3</v>
      </c>
      <c r="M36" s="14">
        <f>$H$199</f>
        <v>15826.494724501759</v>
      </c>
      <c r="N36" s="14">
        <f t="shared" si="4"/>
        <v>1350000</v>
      </c>
      <c r="O36" s="14">
        <f t="shared" si="5"/>
        <v>166307</v>
      </c>
      <c r="P36" s="15">
        <v>118393</v>
      </c>
      <c r="Q36" s="16">
        <f>VLOOKUP(B36,[2]Sheet1!$C$2:$D$299,2,FALSE)</f>
        <v>118393</v>
      </c>
      <c r="R36" s="17">
        <v>85000</v>
      </c>
      <c r="S36" s="18">
        <f t="shared" si="6"/>
        <v>-33393</v>
      </c>
      <c r="T36" s="19">
        <f t="shared" si="7"/>
        <v>-33393</v>
      </c>
      <c r="U36" s="20" t="str">
        <f t="shared" si="8"/>
        <v>ATRASADO</v>
      </c>
      <c r="V36" s="21">
        <f>VLOOKUP(B36,'[3]Deal List'!$F$4:$Q$302,8,FALSE)</f>
        <v>2</v>
      </c>
      <c r="W36" s="22" t="str">
        <f>VLOOKUP(B36,'[3]Deal List'!$F$4:$Q$302,9,FALSE)</f>
        <v>APROBADA</v>
      </c>
      <c r="X36" s="23" t="str">
        <f>VLOOKUP(B36,'[3]Deal List'!$F$4:$Q$302,12,FALSE)</f>
        <v>Condicionada a que Alfonso Videche presente finiquito por calificación D de la SIB en junio 2025.</v>
      </c>
    </row>
    <row r="37" spans="1:24" x14ac:dyDescent="0.3">
      <c r="A37" s="9" t="s">
        <v>48</v>
      </c>
      <c r="B37" s="28">
        <v>1404</v>
      </c>
      <c r="C37" s="9" t="str">
        <f>VLOOKUP(B37,'[1]Matriz Precios A'!$B$3:$BN$301,2,FALSE)</f>
        <v>B1</v>
      </c>
      <c r="D37" s="10">
        <f>VLOOKUP(B37,'[1]Matriz Precios A'!$B$3:$BN$301,34,FALSE)</f>
        <v>849571</v>
      </c>
      <c r="E37" s="11">
        <f>VLOOKUP(B37,'[1]Matriz Precios A'!$B$3:$BN$301,3,FALSE)</f>
        <v>48.69</v>
      </c>
      <c r="F37" s="11">
        <v>0</v>
      </c>
      <c r="G37" s="12">
        <f>VLOOKUP(B37,'[1]Matriz Precios A'!$B$3:$BP$301,7,FALSE)</f>
        <v>1</v>
      </c>
      <c r="H37" s="13">
        <f t="shared" si="0"/>
        <v>12.5</v>
      </c>
      <c r="I37" s="13">
        <f>VLOOKUP(B37,'[1]Matriz Precios A'!$B$3:$BP$301,8,FALSE)</f>
        <v>0</v>
      </c>
      <c r="J37" s="11">
        <f t="shared" si="1"/>
        <v>0</v>
      </c>
      <c r="K37" s="13">
        <f t="shared" si="2"/>
        <v>0</v>
      </c>
      <c r="L37" s="11">
        <f t="shared" si="3"/>
        <v>61.19</v>
      </c>
      <c r="M37" s="14">
        <f>$H$196</f>
        <v>16800</v>
      </c>
      <c r="N37" s="14">
        <f t="shared" si="4"/>
        <v>1028000</v>
      </c>
      <c r="O37" s="14">
        <f t="shared" si="5"/>
        <v>178429</v>
      </c>
      <c r="P37" s="16">
        <v>169971</v>
      </c>
      <c r="Q37" s="16">
        <f>VLOOKUP(B37,[2]Sheet1!$C$2:$D$299,2,FALSE)</f>
        <v>169971</v>
      </c>
      <c r="R37" s="17">
        <v>140200</v>
      </c>
      <c r="S37" s="18">
        <f t="shared" si="6"/>
        <v>-29771</v>
      </c>
      <c r="T37" s="19">
        <f t="shared" si="7"/>
        <v>-29771</v>
      </c>
      <c r="U37" s="20" t="str">
        <f t="shared" si="8"/>
        <v>ATRASADO</v>
      </c>
      <c r="V37" s="21">
        <f>VLOOKUP(B37,'[3]Deal List'!$F$4:$Q$302,8,FALSE)</f>
        <v>1</v>
      </c>
      <c r="W37" s="22" t="str">
        <f>VLOOKUP(B37,'[3]Deal List'!$F$4:$Q$302,9,FALSE)</f>
        <v>DENEGADA</v>
      </c>
      <c r="X37" s="23" t="str">
        <f>VLOOKUP(B37,'[3]Deal List'!$F$4:$Q$302,12,FALSE)</f>
        <v>Cliente posee RCI superior al 100%</v>
      </c>
    </row>
    <row r="38" spans="1:24" x14ac:dyDescent="0.3">
      <c r="A38" s="8" t="s">
        <v>49</v>
      </c>
      <c r="B38" s="29">
        <v>418</v>
      </c>
      <c r="C38" s="9" t="str">
        <f>VLOOKUP(B38,'[1]Matriz Precios A'!$B$3:$BN$301,2,FALSE)</f>
        <v>A1</v>
      </c>
      <c r="D38" s="10">
        <f>VLOOKUP(B38,'[1]Matriz Precios A'!$B$3:$BN$301,34,FALSE)</f>
        <v>720472.5</v>
      </c>
      <c r="E38" s="11">
        <f>VLOOKUP(B38,'[1]Matriz Precios A'!$B$3:$BN$301,3,FALSE)</f>
        <v>35.85</v>
      </c>
      <c r="F38" s="11">
        <v>0</v>
      </c>
      <c r="G38" s="12">
        <f>VLOOKUP(B38,'[1]Matriz Precios A'!$B$3:$BP$301,7,FALSE)</f>
        <v>1</v>
      </c>
      <c r="H38" s="13">
        <f t="shared" si="0"/>
        <v>12.5</v>
      </c>
      <c r="I38" s="13">
        <f>VLOOKUP(B38,'[1]Matriz Precios A'!$B$3:$BP$301,8,FALSE)</f>
        <v>0</v>
      </c>
      <c r="J38" s="11">
        <f t="shared" si="1"/>
        <v>0</v>
      </c>
      <c r="K38" s="13">
        <f t="shared" si="2"/>
        <v>0</v>
      </c>
      <c r="L38" s="11">
        <f t="shared" si="3"/>
        <v>48.35</v>
      </c>
      <c r="M38" s="30">
        <f>$H$195</f>
        <v>18865.9793814433</v>
      </c>
      <c r="N38" s="14">
        <f t="shared" si="4"/>
        <v>912200</v>
      </c>
      <c r="O38" s="14">
        <f t="shared" si="5"/>
        <v>191727.5</v>
      </c>
      <c r="P38" s="15">
        <v>75072.5</v>
      </c>
      <c r="Q38" s="16">
        <f>VLOOKUP(B38,[2]Sheet1!$C$2:$D$299,2,FALSE)</f>
        <v>58807</v>
      </c>
      <c r="R38" s="17">
        <v>31692</v>
      </c>
      <c r="S38" s="18">
        <f t="shared" si="6"/>
        <v>-27115</v>
      </c>
      <c r="T38" s="19">
        <f t="shared" si="7"/>
        <v>-43380.5</v>
      </c>
      <c r="U38" s="20" t="str">
        <f t="shared" si="8"/>
        <v>ATRASADO</v>
      </c>
      <c r="V38" s="21">
        <f>VLOOKUP(B38,'[3]Deal List'!$F$4:$Q$302,8,FALSE)</f>
        <v>2</v>
      </c>
      <c r="W38" s="22" t="str">
        <f>VLOOKUP(B38,'[3]Deal List'!$F$4:$Q$302,9,FALSE)</f>
        <v>APROBADA</v>
      </c>
      <c r="X38" s="23">
        <f>VLOOKUP(B38,'[3]Deal List'!$F$4:$Q$302,12,FALSE)</f>
        <v>0</v>
      </c>
    </row>
    <row r="39" spans="1:24" x14ac:dyDescent="0.3">
      <c r="A39" s="29" t="s">
        <v>50</v>
      </c>
      <c r="B39" s="29">
        <v>617</v>
      </c>
      <c r="C39" s="9" t="str">
        <f>VLOOKUP(B39,'[1]Matriz Precios A'!$B$3:$BN$301,2,FALSE)</f>
        <v>B3</v>
      </c>
      <c r="D39" s="10">
        <f>VLOOKUP(B39,'[1]Matriz Precios A'!$B$3:$BN$301,34,FALSE)</f>
        <v>887400</v>
      </c>
      <c r="E39" s="11">
        <f>VLOOKUP(B39,'[1]Matriz Precios A'!$B$3:$BN$301,3,FALSE)</f>
        <v>48.96</v>
      </c>
      <c r="F39" s="11">
        <v>0</v>
      </c>
      <c r="G39" s="12">
        <f>VLOOKUP(B39,'[1]Matriz Precios A'!$B$3:$BP$301,7,FALSE)</f>
        <v>1</v>
      </c>
      <c r="H39" s="13">
        <f t="shared" si="0"/>
        <v>12.5</v>
      </c>
      <c r="I39" s="13">
        <f>VLOOKUP(B39,'[1]Matriz Precios A'!$B$3:$BP$301,8,FALSE)</f>
        <v>0</v>
      </c>
      <c r="J39" s="11">
        <f t="shared" si="1"/>
        <v>0</v>
      </c>
      <c r="K39" s="13">
        <f t="shared" si="2"/>
        <v>0</v>
      </c>
      <c r="L39" s="11">
        <f t="shared" si="3"/>
        <v>61.46</v>
      </c>
      <c r="M39" s="14">
        <f>$H$196</f>
        <v>16800</v>
      </c>
      <c r="N39" s="14">
        <f t="shared" si="4"/>
        <v>1032600</v>
      </c>
      <c r="O39" s="14">
        <f t="shared" si="5"/>
        <v>145200</v>
      </c>
      <c r="P39" s="15">
        <v>88800</v>
      </c>
      <c r="Q39" s="16">
        <f>VLOOKUP(B39,[2]Sheet1!$C$2:$D$299,2,FALSE)</f>
        <v>88800</v>
      </c>
      <c r="R39" s="17">
        <v>64800</v>
      </c>
      <c r="S39" s="18">
        <f t="shared" si="6"/>
        <v>-24000</v>
      </c>
      <c r="T39" s="19">
        <f t="shared" si="7"/>
        <v>-24000</v>
      </c>
      <c r="U39" s="20" t="str">
        <f t="shared" si="8"/>
        <v>ATRASADO</v>
      </c>
      <c r="V39" s="21">
        <f>VLOOKUP(B39,'[3]Deal List'!$F$4:$Q$302,8,FALSE)</f>
        <v>2</v>
      </c>
      <c r="W39" s="22" t="str">
        <f>VLOOKUP(B39,'[3]Deal List'!$F$4:$Q$302,9,FALSE)</f>
        <v>APROBADA</v>
      </c>
      <c r="X39" s="23">
        <f>VLOOKUP(B39,'[3]Deal List'!$F$4:$Q$302,12,FALSE)</f>
        <v>0</v>
      </c>
    </row>
    <row r="40" spans="1:24" x14ac:dyDescent="0.3">
      <c r="A40" s="9" t="s">
        <v>37</v>
      </c>
      <c r="B40" s="9">
        <v>1112</v>
      </c>
      <c r="C40" s="9" t="str">
        <f>VLOOKUP(B40,'[1]Matriz Precios A'!$B$3:$BN$301,2,FALSE)</f>
        <v>A8</v>
      </c>
      <c r="D40" s="10">
        <f>VLOOKUP(B40,'[1]Matriz Precios A'!$B$3:$BN$301,34,FALSE)</f>
        <v>690627.17</v>
      </c>
      <c r="E40" s="11">
        <f>VLOOKUP(B40,'[1]Matriz Precios A'!$B$3:$BN$301,3,FALSE)</f>
        <v>35.94</v>
      </c>
      <c r="F40" s="11">
        <v>0</v>
      </c>
      <c r="G40" s="12">
        <f>VLOOKUP(B40,'[1]Matriz Precios A'!$B$3:$BP$301,7,FALSE)</f>
        <v>1</v>
      </c>
      <c r="H40" s="13">
        <f t="shared" si="0"/>
        <v>12.5</v>
      </c>
      <c r="I40" s="13">
        <f>VLOOKUP(B40,'[1]Matriz Precios A'!$B$3:$BP$301,8,FALSE)</f>
        <v>0</v>
      </c>
      <c r="J40" s="11">
        <f t="shared" si="1"/>
        <v>0</v>
      </c>
      <c r="K40" s="13">
        <f t="shared" si="2"/>
        <v>0</v>
      </c>
      <c r="L40" s="11">
        <f t="shared" si="3"/>
        <v>48.44</v>
      </c>
      <c r="M40" s="14">
        <f>$H$195</f>
        <v>18865.9793814433</v>
      </c>
      <c r="N40" s="14">
        <f t="shared" si="4"/>
        <v>913900</v>
      </c>
      <c r="O40" s="14">
        <f t="shared" si="5"/>
        <v>223272.82999999996</v>
      </c>
      <c r="P40" s="16">
        <v>690627.17</v>
      </c>
      <c r="Q40" s="16">
        <f>VLOOKUP(B40,[2]Sheet1!$C$2:$D$299,2,FALSE)</f>
        <v>690627.16999999993</v>
      </c>
      <c r="R40" s="17">
        <v>667836.72</v>
      </c>
      <c r="S40" s="18">
        <f t="shared" si="6"/>
        <v>-22790.449999999953</v>
      </c>
      <c r="T40" s="19">
        <f t="shared" si="7"/>
        <v>-22790.45000000007</v>
      </c>
      <c r="U40" s="20" t="str">
        <f t="shared" si="8"/>
        <v>ATRASADO</v>
      </c>
      <c r="V40" s="21">
        <f>VLOOKUP(B40,'[3]Deal List'!$F$4:$Q$302,8,FALSE)</f>
        <v>1</v>
      </c>
      <c r="W40" s="22" t="str">
        <f>VLOOKUP(B40,'[3]Deal List'!$F$4:$Q$302,9,FALSE)</f>
        <v>APROBADA</v>
      </c>
      <c r="X40" s="23">
        <f>VLOOKUP(B40,'[3]Deal List'!$F$4:$Q$302,12,FALSE)</f>
        <v>0</v>
      </c>
    </row>
    <row r="41" spans="1:24" x14ac:dyDescent="0.3">
      <c r="A41" s="27" t="s">
        <v>51</v>
      </c>
      <c r="B41" s="27">
        <v>619</v>
      </c>
      <c r="C41" s="9" t="str">
        <f>VLOOKUP(B41,'[1]Matriz Precios A'!$B$3:$BN$301,2,FALSE)</f>
        <v>E10</v>
      </c>
      <c r="D41" s="10">
        <f>VLOOKUP(B41,'[1]Matriz Precios A'!$B$3:$BN$301,34,FALSE)</f>
        <v>1529194.3266091</v>
      </c>
      <c r="E41" s="11">
        <f>VLOOKUP(B41,'[1]Matriz Precios A'!$B$3:$BN$301,3,FALSE)</f>
        <v>72.510000000000005</v>
      </c>
      <c r="F41" s="11">
        <v>0</v>
      </c>
      <c r="G41" s="12">
        <f>VLOOKUP(B41,'[1]Matriz Precios A'!$B$3:$BP$301,7,FALSE)</f>
        <v>0</v>
      </c>
      <c r="H41" s="13">
        <f t="shared" si="0"/>
        <v>0</v>
      </c>
      <c r="I41" s="13">
        <f>VLOOKUP(B41,'[1]Matriz Precios A'!$B$3:$BP$301,8,FALSE)</f>
        <v>1</v>
      </c>
      <c r="J41" s="11">
        <f t="shared" si="1"/>
        <v>25</v>
      </c>
      <c r="K41" s="13">
        <f t="shared" si="2"/>
        <v>5.3</v>
      </c>
      <c r="L41" s="11">
        <f t="shared" si="3"/>
        <v>102.81</v>
      </c>
      <c r="M41" s="14">
        <f>$H$201</f>
        <v>15392.061955469506</v>
      </c>
      <c r="N41" s="14">
        <f t="shared" si="4"/>
        <v>1582500</v>
      </c>
      <c r="O41" s="14">
        <f t="shared" si="5"/>
        <v>53305.673390900018</v>
      </c>
      <c r="P41" s="15">
        <v>152994.32999999999</v>
      </c>
      <c r="Q41" s="16">
        <f>VLOOKUP(B41,[2]Sheet1!$C$2:$D$299,2,FALSE)</f>
        <v>122354</v>
      </c>
      <c r="R41" s="17">
        <v>101926</v>
      </c>
      <c r="S41" s="18">
        <f t="shared" si="6"/>
        <v>-20428</v>
      </c>
      <c r="T41" s="19">
        <f t="shared" si="7"/>
        <v>-51068.329999999987</v>
      </c>
      <c r="U41" s="20" t="str">
        <f t="shared" si="8"/>
        <v>ATRASADO</v>
      </c>
      <c r="V41" s="21">
        <f>VLOOKUP(B41,'[3]Deal List'!$F$4:$Q$302,8,FALSE)</f>
        <v>2</v>
      </c>
      <c r="W41" s="22" t="str">
        <f>VLOOKUP(B41,'[3]Deal List'!$F$4:$Q$302,9,FALSE)</f>
        <v>APROBADA</v>
      </c>
      <c r="X41" s="23">
        <f>VLOOKUP(B41,'[3]Deal List'!$F$4:$Q$302,12,FALSE)</f>
        <v>0</v>
      </c>
    </row>
    <row r="42" spans="1:24" x14ac:dyDescent="0.3">
      <c r="A42" s="9" t="s">
        <v>52</v>
      </c>
      <c r="B42" s="9">
        <v>1017</v>
      </c>
      <c r="C42" s="9" t="str">
        <f>VLOOKUP(B42,'[1]Matriz Precios A'!$B$3:$BN$301,2,FALSE)</f>
        <v>A6</v>
      </c>
      <c r="D42" s="10">
        <f>VLOOKUP(B42,'[1]Matriz Precios A'!$B$3:$BN$301,34,FALSE)</f>
        <v>663200</v>
      </c>
      <c r="E42" s="11">
        <f>VLOOKUP(B42,'[1]Matriz Precios A'!$B$3:$BN$301,3,FALSE)</f>
        <v>35.69</v>
      </c>
      <c r="F42" s="11">
        <v>0</v>
      </c>
      <c r="G42" s="12">
        <f>VLOOKUP(B42,'[1]Matriz Precios A'!$B$3:$BP$301,7,FALSE)</f>
        <v>1</v>
      </c>
      <c r="H42" s="13">
        <f t="shared" si="0"/>
        <v>12.5</v>
      </c>
      <c r="I42" s="13">
        <f>VLOOKUP(B42,'[1]Matriz Precios A'!$B$3:$BP$301,8,FALSE)</f>
        <v>0</v>
      </c>
      <c r="J42" s="11">
        <f t="shared" si="1"/>
        <v>0</v>
      </c>
      <c r="K42" s="13">
        <f t="shared" si="2"/>
        <v>0</v>
      </c>
      <c r="L42" s="11">
        <f t="shared" si="3"/>
        <v>48.19</v>
      </c>
      <c r="M42" s="14">
        <f>$H$195</f>
        <v>18865.9793814433</v>
      </c>
      <c r="N42" s="14">
        <f t="shared" si="4"/>
        <v>909200</v>
      </c>
      <c r="O42" s="14">
        <f t="shared" si="5"/>
        <v>246000</v>
      </c>
      <c r="P42" s="16">
        <v>66400</v>
      </c>
      <c r="Q42" s="16">
        <f>VLOOKUP(B42,[2]Sheet1!$C$2:$D$299,2,FALSE)</f>
        <v>66400</v>
      </c>
      <c r="R42" s="17">
        <v>46950</v>
      </c>
      <c r="S42" s="18">
        <f t="shared" si="6"/>
        <v>-19450</v>
      </c>
      <c r="T42" s="19">
        <f t="shared" si="7"/>
        <v>-19450</v>
      </c>
      <c r="U42" s="20" t="str">
        <f t="shared" si="8"/>
        <v>ATRASADO</v>
      </c>
      <c r="V42" s="21">
        <f>VLOOKUP(B42,'[3]Deal List'!$F$4:$Q$302,8,FALSE)</f>
        <v>1</v>
      </c>
      <c r="W42" s="22" t="str">
        <f>VLOOKUP(B42,'[3]Deal List'!$F$4:$Q$302,9,FALSE)</f>
        <v>APROBADA</v>
      </c>
      <c r="X42" s="23">
        <f>VLOOKUP(B42,'[3]Deal List'!$F$4:$Q$302,12,FALSE)</f>
        <v>0</v>
      </c>
    </row>
    <row r="43" spans="1:24" x14ac:dyDescent="0.3">
      <c r="A43" s="9" t="s">
        <v>53</v>
      </c>
      <c r="B43" s="9">
        <v>1212</v>
      </c>
      <c r="C43" s="9" t="str">
        <f>VLOOKUP(B43,'[1]Matriz Precios A'!$B$3:$BN$301,2,FALSE)</f>
        <v>A8</v>
      </c>
      <c r="D43" s="10">
        <f>VLOOKUP(B43,'[1]Matriz Precios A'!$B$3:$BN$301,34,FALSE)</f>
        <v>666800</v>
      </c>
      <c r="E43" s="11">
        <f>VLOOKUP(B43,'[1]Matriz Precios A'!$B$3:$BN$301,3,FALSE)</f>
        <v>35.94</v>
      </c>
      <c r="F43" s="11">
        <v>0</v>
      </c>
      <c r="G43" s="12">
        <f>VLOOKUP(B43,'[1]Matriz Precios A'!$B$3:$BP$301,7,FALSE)</f>
        <v>1</v>
      </c>
      <c r="H43" s="13">
        <f t="shared" si="0"/>
        <v>12.5</v>
      </c>
      <c r="I43" s="13">
        <f>VLOOKUP(B43,'[1]Matriz Precios A'!$B$3:$BP$301,8,FALSE)</f>
        <v>0</v>
      </c>
      <c r="J43" s="11">
        <f t="shared" si="1"/>
        <v>0</v>
      </c>
      <c r="K43" s="13">
        <f t="shared" si="2"/>
        <v>0</v>
      </c>
      <c r="L43" s="11">
        <f t="shared" si="3"/>
        <v>48.44</v>
      </c>
      <c r="M43" s="14">
        <f>$H$195</f>
        <v>18865.9793814433</v>
      </c>
      <c r="N43" s="14">
        <f t="shared" si="4"/>
        <v>913900</v>
      </c>
      <c r="O43" s="14">
        <f t="shared" si="5"/>
        <v>247100</v>
      </c>
      <c r="P43" s="16">
        <v>66700</v>
      </c>
      <c r="Q43" s="16">
        <f>VLOOKUP(B43,[2]Sheet1!$C$2:$D$299,2,FALSE)</f>
        <v>66700</v>
      </c>
      <c r="R43" s="17">
        <v>47424</v>
      </c>
      <c r="S43" s="18">
        <f t="shared" si="6"/>
        <v>-19276</v>
      </c>
      <c r="T43" s="19">
        <f t="shared" si="7"/>
        <v>-19276</v>
      </c>
      <c r="U43" s="20" t="str">
        <f t="shared" si="8"/>
        <v>ATRASADO</v>
      </c>
      <c r="V43" s="21">
        <f>VLOOKUP(B43,'[3]Deal List'!$F$4:$Q$302,8,FALSE)</f>
        <v>1</v>
      </c>
      <c r="W43" s="22" t="str">
        <f>VLOOKUP(B43,'[3]Deal List'!$F$4:$Q$302,9,FALSE)</f>
        <v>DENEGADA</v>
      </c>
      <c r="X43" s="23" t="str">
        <f>VLOOKUP(B43,'[3]Deal List'!$F$4:$Q$302,12,FALSE)</f>
        <v>Cliente posee un RCI del 51% (Creidtos Hipotecarios por Q2.3 millones y TCs por Q377 mil) Presentar contratos de arrendamiento, o bajar deuda.</v>
      </c>
    </row>
    <row r="44" spans="1:24" x14ac:dyDescent="0.3">
      <c r="A44" s="40" t="s">
        <v>54</v>
      </c>
      <c r="B44" s="29">
        <v>705</v>
      </c>
      <c r="C44" s="9" t="str">
        <f>VLOOKUP(B44,'[1]Matriz Precios A'!$B$3:$BN$301,2,FALSE)</f>
        <v>D9</v>
      </c>
      <c r="D44" s="10">
        <f>VLOOKUP(B44,'[1]Matriz Precios A'!$B$3:$BN$301,34,FALSE)</f>
        <v>1396401.17573617</v>
      </c>
      <c r="E44" s="11">
        <f>VLOOKUP(B44,'[1]Matriz Precios A'!$B$3:$BN$301,3,FALSE)</f>
        <v>68.91</v>
      </c>
      <c r="F44" s="11">
        <v>0</v>
      </c>
      <c r="G44" s="12">
        <f>VLOOKUP(B44,'[1]Matriz Precios A'!$B$3:$BP$301,7,FALSE)</f>
        <v>0</v>
      </c>
      <c r="H44" s="13">
        <f t="shared" si="0"/>
        <v>0</v>
      </c>
      <c r="I44" s="13">
        <f>VLOOKUP(B44,'[1]Matriz Precios A'!$B$3:$BP$301,8,FALSE)</f>
        <v>1</v>
      </c>
      <c r="J44" s="11">
        <f t="shared" si="1"/>
        <v>25</v>
      </c>
      <c r="K44" s="13">
        <f t="shared" si="2"/>
        <v>5.3</v>
      </c>
      <c r="L44" s="11">
        <f t="shared" si="3"/>
        <v>99.21</v>
      </c>
      <c r="M44" s="14">
        <f>$H$200</f>
        <v>14696.813977389518</v>
      </c>
      <c r="N44" s="14">
        <f t="shared" si="4"/>
        <v>1458100</v>
      </c>
      <c r="O44" s="14">
        <f t="shared" si="5"/>
        <v>61698.824263829971</v>
      </c>
      <c r="P44" s="15">
        <v>139701.18</v>
      </c>
      <c r="Q44" s="16">
        <f>VLOOKUP(B44,[2]Sheet1!$C$2:$D$299,2,FALSE)</f>
        <v>113764</v>
      </c>
      <c r="R44" s="17">
        <v>96470</v>
      </c>
      <c r="S44" s="18">
        <f t="shared" si="6"/>
        <v>-17294</v>
      </c>
      <c r="T44" s="19">
        <f t="shared" si="7"/>
        <v>-43231.179999999993</v>
      </c>
      <c r="U44" s="20" t="str">
        <f t="shared" si="8"/>
        <v>ATRASADO</v>
      </c>
      <c r="V44" s="21">
        <f>VLOOKUP(B44,'[3]Deal List'!$F$4:$Q$302,8,FALSE)</f>
        <v>2</v>
      </c>
      <c r="W44" s="22" t="str">
        <f>VLOOKUP(B44,'[3]Deal List'!$F$4:$Q$302,9,FALSE)</f>
        <v>DENEGADA</v>
      </c>
      <c r="X44" s="23" t="str">
        <f>VLOOKUP(B44,'[3]Deal List'!$F$4:$Q$302,12,FALSE)</f>
        <v>Cliente posee RCI del 55% (Crédito prendario Q273 mil y TC por Q33 mil) se sugiere adicionar otro deudor.</v>
      </c>
    </row>
    <row r="45" spans="1:24" x14ac:dyDescent="0.3">
      <c r="A45" s="8" t="s">
        <v>55</v>
      </c>
      <c r="B45" s="27">
        <v>305</v>
      </c>
      <c r="C45" s="9" t="str">
        <f>VLOOKUP(B45,'[1]Matriz Precios A'!$B$3:$BN$301,2,FALSE)</f>
        <v>B7</v>
      </c>
      <c r="D45" s="10">
        <f>VLOOKUP(B45,'[1]Matriz Precios A'!$B$3:$BN$301,34,FALSE)</f>
        <v>1112465.60916772</v>
      </c>
      <c r="E45" s="11">
        <f>VLOOKUP(B45,'[1]Matriz Precios A'!$B$3:$BN$301,3,FALSE)</f>
        <v>53.1</v>
      </c>
      <c r="F45" s="11">
        <v>0</v>
      </c>
      <c r="G45" s="12">
        <f>VLOOKUP(B45,'[1]Matriz Precios A'!$B$3:$BP$301,7,FALSE)</f>
        <v>1</v>
      </c>
      <c r="H45" s="13">
        <f t="shared" si="0"/>
        <v>12.5</v>
      </c>
      <c r="I45" s="13">
        <f>VLOOKUP(B45,'[1]Matriz Precios A'!$B$3:$BP$301,8,FALSE)</f>
        <v>0</v>
      </c>
      <c r="J45" s="11">
        <f t="shared" si="1"/>
        <v>0</v>
      </c>
      <c r="K45" s="13">
        <f t="shared" si="2"/>
        <v>0</v>
      </c>
      <c r="L45" s="11">
        <f t="shared" si="3"/>
        <v>65.599999999999994</v>
      </c>
      <c r="M45" s="14">
        <f>$H$196</f>
        <v>16800</v>
      </c>
      <c r="N45" s="14">
        <f t="shared" si="4"/>
        <v>1102100</v>
      </c>
      <c r="O45" s="32">
        <f t="shared" si="5"/>
        <v>-10365.609167719958</v>
      </c>
      <c r="P45" s="15">
        <v>111246.560916772</v>
      </c>
      <c r="Q45" s="16">
        <f>VLOOKUP(B45,[2]Sheet1!$C$2:$D$299,2,FALSE)</f>
        <v>78000</v>
      </c>
      <c r="R45" s="17">
        <v>61000</v>
      </c>
      <c r="S45" s="18">
        <f t="shared" si="6"/>
        <v>-17000</v>
      </c>
      <c r="T45" s="19">
        <f t="shared" si="7"/>
        <v>-50246.560916771996</v>
      </c>
      <c r="U45" s="20" t="str">
        <f t="shared" si="8"/>
        <v>ATRASADO</v>
      </c>
      <c r="V45" s="21">
        <f>VLOOKUP(B45,'[3]Deal List'!$F$4:$Q$302,8,FALSE)</f>
        <v>1</v>
      </c>
      <c r="W45" s="22" t="str">
        <f>VLOOKUP(B45,'[3]Deal List'!$F$4:$Q$302,9,FALSE)</f>
        <v>APROBADA</v>
      </c>
      <c r="X45" s="23">
        <f>VLOOKUP(B45,'[3]Deal List'!$F$4:$Q$302,12,FALSE)</f>
        <v>0</v>
      </c>
    </row>
    <row r="46" spans="1:24" x14ac:dyDescent="0.3">
      <c r="A46" s="8" t="s">
        <v>56</v>
      </c>
      <c r="B46" s="29">
        <v>1707</v>
      </c>
      <c r="C46" s="9" t="str">
        <f>VLOOKUP(B46,'[1]Matriz Precios A'!$B$3:$BN$301,2,FALSE)</f>
        <v>B5</v>
      </c>
      <c r="D46" s="10">
        <f>VLOOKUP(B46,'[1]Matriz Precios A'!$B$3:$BN$301,34,FALSE)</f>
        <v>980300</v>
      </c>
      <c r="E46" s="11">
        <f>VLOOKUP(B46,'[1]Matriz Precios A'!$B$3:$BN$301,3,FALSE)</f>
        <v>52.51</v>
      </c>
      <c r="F46" s="11">
        <v>0</v>
      </c>
      <c r="G46" s="12">
        <f>VLOOKUP(B46,'[1]Matriz Precios A'!$B$3:$BP$301,7,FALSE)</f>
        <v>1</v>
      </c>
      <c r="H46" s="13">
        <f t="shared" si="0"/>
        <v>12.5</v>
      </c>
      <c r="I46" s="13">
        <f>VLOOKUP(B46,'[1]Matriz Precios A'!$B$3:$BP$301,8,FALSE)</f>
        <v>0</v>
      </c>
      <c r="J46" s="11">
        <f t="shared" si="1"/>
        <v>0</v>
      </c>
      <c r="K46" s="13">
        <f t="shared" si="2"/>
        <v>0</v>
      </c>
      <c r="L46" s="11">
        <f t="shared" si="3"/>
        <v>65.009999999999991</v>
      </c>
      <c r="M46" s="14">
        <f>$H$196</f>
        <v>16800</v>
      </c>
      <c r="N46" s="14">
        <f t="shared" si="4"/>
        <v>1092200</v>
      </c>
      <c r="O46" s="14">
        <f t="shared" si="5"/>
        <v>111900</v>
      </c>
      <c r="P46" s="15">
        <v>90800</v>
      </c>
      <c r="Q46" s="16">
        <f>VLOOKUP(B46,[2]Sheet1!$C$2:$D$299,2,FALSE)</f>
        <v>65550</v>
      </c>
      <c r="R46" s="17">
        <v>50400</v>
      </c>
      <c r="S46" s="18">
        <f t="shared" si="6"/>
        <v>-15150</v>
      </c>
      <c r="T46" s="19">
        <f t="shared" si="7"/>
        <v>-40400</v>
      </c>
      <c r="U46" s="20" t="str">
        <f t="shared" si="8"/>
        <v>ATRASADO</v>
      </c>
      <c r="V46" s="21">
        <f>VLOOKUP(B46,'[3]Deal List'!$F$4:$Q$302,8,FALSE)</f>
        <v>2</v>
      </c>
      <c r="W46" s="22" t="str">
        <f>VLOOKUP(B46,'[3]Deal List'!$F$4:$Q$302,9,FALSE)</f>
        <v>APROBADA</v>
      </c>
      <c r="X46" s="23">
        <f>VLOOKUP(B46,'[3]Deal List'!$F$4:$Q$302,12,FALSE)</f>
        <v>0</v>
      </c>
    </row>
    <row r="47" spans="1:24" x14ac:dyDescent="0.3">
      <c r="A47" s="27" t="s">
        <v>57</v>
      </c>
      <c r="B47" s="26">
        <v>106</v>
      </c>
      <c r="C47" s="9" t="str">
        <f>VLOOKUP(B47,'[1]Matriz Precios A'!$B$3:$BN$301,2,FALSE)</f>
        <v>B2.1</v>
      </c>
      <c r="D47" s="10">
        <f>VLOOKUP(B47,'[1]Matriz Precios A'!$B$3:$BN$301,34,FALSE)</f>
        <v>1382310.1310761899</v>
      </c>
      <c r="E47" s="11">
        <f>VLOOKUP(B47,'[1]Matriz Precios A'!$B$3:$BN$301,3,FALSE)</f>
        <v>51.18</v>
      </c>
      <c r="F47" s="11">
        <f>VLOOKUP(B47,'[1]Matriz Precios A'!$B$3:$BN$301,6,FALSE)</f>
        <v>11.46</v>
      </c>
      <c r="G47" s="12">
        <f>VLOOKUP(B47,'[1]Matriz Precios A'!$B$3:$BP$301,7,FALSE)</f>
        <v>0</v>
      </c>
      <c r="H47" s="13">
        <f t="shared" si="0"/>
        <v>0</v>
      </c>
      <c r="I47" s="13">
        <f>VLOOKUP(B47,'[1]Matriz Precios A'!$B$3:$BP$301,8,FALSE)</f>
        <v>1</v>
      </c>
      <c r="J47" s="11">
        <f t="shared" si="1"/>
        <v>25</v>
      </c>
      <c r="K47" s="13">
        <f t="shared" si="2"/>
        <v>5.3</v>
      </c>
      <c r="L47" s="11">
        <f t="shared" si="3"/>
        <v>92.94</v>
      </c>
      <c r="M47" s="14">
        <f>$H$197</f>
        <v>15691.158156911582</v>
      </c>
      <c r="N47" s="14">
        <f t="shared" si="4"/>
        <v>1458400</v>
      </c>
      <c r="O47" s="14">
        <f t="shared" si="5"/>
        <v>76089.868923810078</v>
      </c>
      <c r="P47" s="15">
        <v>94423</v>
      </c>
      <c r="Q47" s="16">
        <f>VLOOKUP(B47,[2]Sheet1!$C$2:$D$299,2,FALSE)</f>
        <v>38200</v>
      </c>
      <c r="R47" s="17">
        <v>24100</v>
      </c>
      <c r="S47" s="18">
        <f t="shared" si="6"/>
        <v>-14100</v>
      </c>
      <c r="T47" s="19">
        <f t="shared" si="7"/>
        <v>-70323</v>
      </c>
      <c r="U47" s="20" t="str">
        <f t="shared" si="8"/>
        <v>ATRASADO</v>
      </c>
      <c r="V47" s="21">
        <f>VLOOKUP(B47,'[3]Deal List'!$F$4:$Q$302,8,FALSE)</f>
        <v>3</v>
      </c>
      <c r="W47" s="22" t="str">
        <f>VLOOKUP(B47,'[3]Deal List'!$F$4:$Q$302,9,FALSE)</f>
        <v>APROBADA</v>
      </c>
      <c r="X47" s="23">
        <f>VLOOKUP(B47,'[3]Deal List'!$F$4:$Q$302,12,FALSE)</f>
        <v>0</v>
      </c>
    </row>
    <row r="48" spans="1:24" x14ac:dyDescent="0.3">
      <c r="A48" s="9" t="s">
        <v>53</v>
      </c>
      <c r="B48" s="9">
        <v>1016</v>
      </c>
      <c r="C48" s="9" t="str">
        <f>VLOOKUP(B48,'[1]Matriz Precios A'!$B$3:$BN$301,2,FALSE)</f>
        <v>A2</v>
      </c>
      <c r="D48" s="10">
        <f>VLOOKUP(B48,'[1]Matriz Precios A'!$B$3:$BN$301,34,FALSE)</f>
        <v>651600</v>
      </c>
      <c r="E48" s="11">
        <f>VLOOKUP(B48,'[1]Matriz Precios A'!$B$3:$BN$301,3,FALSE)</f>
        <v>34.9</v>
      </c>
      <c r="F48" s="11">
        <v>0</v>
      </c>
      <c r="G48" s="12">
        <f>VLOOKUP(B48,'[1]Matriz Precios A'!$B$3:$BP$301,7,FALSE)</f>
        <v>1</v>
      </c>
      <c r="H48" s="13">
        <f t="shared" si="0"/>
        <v>12.5</v>
      </c>
      <c r="I48" s="13">
        <f>VLOOKUP(B48,'[1]Matriz Precios A'!$B$3:$BP$301,8,FALSE)</f>
        <v>0</v>
      </c>
      <c r="J48" s="11">
        <f t="shared" si="1"/>
        <v>0</v>
      </c>
      <c r="K48" s="13">
        <f t="shared" si="2"/>
        <v>0</v>
      </c>
      <c r="L48" s="11">
        <f t="shared" si="3"/>
        <v>47.4</v>
      </c>
      <c r="M48" s="14">
        <f>$H$195</f>
        <v>18865.9793814433</v>
      </c>
      <c r="N48" s="14">
        <f t="shared" si="4"/>
        <v>894300</v>
      </c>
      <c r="O48" s="14">
        <f t="shared" si="5"/>
        <v>242700</v>
      </c>
      <c r="P48" s="16">
        <v>65200</v>
      </c>
      <c r="Q48" s="16">
        <f>VLOOKUP(B48,[2]Sheet1!$C$2:$D$299,2,FALSE)</f>
        <v>65200</v>
      </c>
      <c r="R48" s="17">
        <v>51591</v>
      </c>
      <c r="S48" s="18">
        <f t="shared" si="6"/>
        <v>-13609</v>
      </c>
      <c r="T48" s="19">
        <f t="shared" si="7"/>
        <v>-13609</v>
      </c>
      <c r="U48" s="20" t="str">
        <f t="shared" si="8"/>
        <v>ATRASADO</v>
      </c>
      <c r="V48" s="21">
        <f>VLOOKUP(B48,'[3]Deal List'!$F$4:$Q$302,8,FALSE)</f>
        <v>1</v>
      </c>
      <c r="W48" s="22" t="str">
        <f>VLOOKUP(B48,'[3]Deal List'!$F$4:$Q$302,9,FALSE)</f>
        <v>DENEGADA</v>
      </c>
      <c r="X48" s="23" t="str">
        <f>VLOOKUP(B48,'[3]Deal List'!$F$4:$Q$302,12,FALSE)</f>
        <v>Cliente posee un RCI del 51% (Creidtos Hipotecarios por Q2.3 millones y TCs por Q377 mil) Presentar contratos de arrendamiento, o bajar deuda.</v>
      </c>
    </row>
    <row r="49" spans="1:24" x14ac:dyDescent="0.3">
      <c r="A49" s="29" t="s">
        <v>58</v>
      </c>
      <c r="B49" s="27">
        <v>408</v>
      </c>
      <c r="C49" s="9" t="str">
        <f>VLOOKUP(B49,'[1]Matriz Precios A'!$B$3:$BN$301,2,FALSE)</f>
        <v>B1</v>
      </c>
      <c r="D49" s="10">
        <f>VLOOKUP(B49,'[1]Matriz Precios A'!$B$3:$BN$301,34,FALSE)</f>
        <v>883300</v>
      </c>
      <c r="E49" s="11">
        <f>VLOOKUP(B49,'[1]Matriz Precios A'!$B$3:$BN$301,3,FALSE)</f>
        <v>48.69</v>
      </c>
      <c r="F49" s="11">
        <v>0</v>
      </c>
      <c r="G49" s="12">
        <f>VLOOKUP(B49,'[1]Matriz Precios A'!$B$3:$BP$301,7,FALSE)</f>
        <v>1</v>
      </c>
      <c r="H49" s="13">
        <f t="shared" si="0"/>
        <v>12.5</v>
      </c>
      <c r="I49" s="13">
        <f>VLOOKUP(B49,'[1]Matriz Precios A'!$B$3:$BP$301,8,FALSE)</f>
        <v>0</v>
      </c>
      <c r="J49" s="11">
        <f t="shared" si="1"/>
        <v>0</v>
      </c>
      <c r="K49" s="13">
        <f t="shared" si="2"/>
        <v>0</v>
      </c>
      <c r="L49" s="11">
        <f t="shared" si="3"/>
        <v>61.19</v>
      </c>
      <c r="M49" s="14">
        <f>$H$196</f>
        <v>16800</v>
      </c>
      <c r="N49" s="14">
        <f t="shared" si="4"/>
        <v>1028000</v>
      </c>
      <c r="O49" s="14">
        <f t="shared" si="5"/>
        <v>144700</v>
      </c>
      <c r="P49" s="15">
        <v>88400</v>
      </c>
      <c r="Q49" s="16">
        <f>VLOOKUP(B49,[2]Sheet1!$C$2:$D$299,2,FALSE)</f>
        <v>71600</v>
      </c>
      <c r="R49" s="17">
        <v>58000</v>
      </c>
      <c r="S49" s="18">
        <f t="shared" si="6"/>
        <v>-13600</v>
      </c>
      <c r="T49" s="19">
        <f t="shared" si="7"/>
        <v>-30400</v>
      </c>
      <c r="U49" s="20" t="str">
        <f t="shared" si="8"/>
        <v>ATRASADO</v>
      </c>
      <c r="V49" s="21">
        <f>VLOOKUP(B49,'[3]Deal List'!$F$4:$Q$302,8,FALSE)</f>
        <v>2</v>
      </c>
      <c r="W49" s="22" t="str">
        <f>VLOOKUP(B49,'[3]Deal List'!$F$4:$Q$302,9,FALSE)</f>
        <v>APROBADA</v>
      </c>
      <c r="X49" s="23">
        <f>VLOOKUP(B49,'[3]Deal List'!$F$4:$Q$302,12,FALSE)</f>
        <v>0</v>
      </c>
    </row>
    <row r="50" spans="1:24" x14ac:dyDescent="0.3">
      <c r="A50" s="9" t="s">
        <v>59</v>
      </c>
      <c r="B50" s="9">
        <v>804</v>
      </c>
      <c r="C50" s="9" t="str">
        <f>VLOOKUP(B50,'[1]Matriz Precios A'!$B$3:$BN$301,2,FALSE)</f>
        <v>A1</v>
      </c>
      <c r="D50" s="10">
        <f>VLOOKUP(B50,'[1]Matriz Precios A'!$B$3:$BN$301,34,FALSE)</f>
        <v>702900</v>
      </c>
      <c r="E50" s="11">
        <f>VLOOKUP(B50,'[1]Matriz Precios A'!$B$3:$BN$301,3,FALSE)</f>
        <v>35.85</v>
      </c>
      <c r="F50" s="11">
        <v>0</v>
      </c>
      <c r="G50" s="12">
        <f>VLOOKUP(B50,'[1]Matriz Precios A'!$B$3:$BP$301,7,FALSE)</f>
        <v>1</v>
      </c>
      <c r="H50" s="13">
        <f t="shared" si="0"/>
        <v>12.5</v>
      </c>
      <c r="I50" s="13">
        <f>VLOOKUP(B50,'[1]Matriz Precios A'!$B$3:$BP$301,8,FALSE)</f>
        <v>0</v>
      </c>
      <c r="J50" s="11">
        <f t="shared" si="1"/>
        <v>0</v>
      </c>
      <c r="K50" s="13">
        <f t="shared" si="2"/>
        <v>0</v>
      </c>
      <c r="L50" s="11">
        <f t="shared" si="3"/>
        <v>48.35</v>
      </c>
      <c r="M50" s="14">
        <f>$H$195</f>
        <v>18865.9793814433</v>
      </c>
      <c r="N50" s="14">
        <f t="shared" si="4"/>
        <v>912200</v>
      </c>
      <c r="O50" s="14">
        <f t="shared" si="5"/>
        <v>209300</v>
      </c>
      <c r="P50" s="16">
        <v>70300</v>
      </c>
      <c r="Q50" s="16">
        <f>VLOOKUP(B50,[2]Sheet1!$C$2:$D$299,2,FALSE)</f>
        <v>70300</v>
      </c>
      <c r="R50" s="17">
        <v>57500</v>
      </c>
      <c r="S50" s="18">
        <f t="shared" si="6"/>
        <v>-12800</v>
      </c>
      <c r="T50" s="19">
        <f t="shared" si="7"/>
        <v>-12800</v>
      </c>
      <c r="U50" s="20" t="str">
        <f t="shared" si="8"/>
        <v>ATRASADO</v>
      </c>
      <c r="V50" s="21">
        <f>VLOOKUP(B50,'[3]Deal List'!$F$4:$Q$302,8,FALSE)</f>
        <v>1</v>
      </c>
      <c r="W50" s="22" t="str">
        <f>VLOOKUP(B50,'[3]Deal List'!$F$4:$Q$302,9,FALSE)</f>
        <v>APROBADA</v>
      </c>
      <c r="X50" s="23">
        <f>VLOOKUP(B50,'[3]Deal List'!$F$4:$Q$302,12,FALSE)</f>
        <v>0</v>
      </c>
    </row>
    <row r="51" spans="1:24" x14ac:dyDescent="0.3">
      <c r="A51" s="31" t="s">
        <v>60</v>
      </c>
      <c r="B51" s="26">
        <v>612</v>
      </c>
      <c r="C51" s="9" t="str">
        <f>VLOOKUP(B51,'[1]Matriz Precios A'!$B$3:$BN$301,2,FALSE)</f>
        <v>A8</v>
      </c>
      <c r="D51" s="10">
        <f>VLOOKUP(B51,'[1]Matriz Precios A'!$B$3:$BN$301,34,FALSE)</f>
        <v>728122.5</v>
      </c>
      <c r="E51" s="11">
        <f>VLOOKUP(B51,'[1]Matriz Precios A'!$B$3:$BN$301,3,FALSE)</f>
        <v>35.94</v>
      </c>
      <c r="F51" s="11">
        <v>0</v>
      </c>
      <c r="G51" s="12">
        <f>VLOOKUP(B51,'[1]Matriz Precios A'!$B$3:$BP$301,7,FALSE)</f>
        <v>1</v>
      </c>
      <c r="H51" s="13">
        <f t="shared" si="0"/>
        <v>12.5</v>
      </c>
      <c r="I51" s="13">
        <f>VLOOKUP(B51,'[1]Matriz Precios A'!$B$3:$BP$301,8,FALSE)</f>
        <v>0</v>
      </c>
      <c r="J51" s="11">
        <f t="shared" si="1"/>
        <v>0</v>
      </c>
      <c r="K51" s="13">
        <f t="shared" si="2"/>
        <v>0</v>
      </c>
      <c r="L51" s="11">
        <f t="shared" si="3"/>
        <v>48.44</v>
      </c>
      <c r="M51" s="30">
        <f>$H$195</f>
        <v>18865.9793814433</v>
      </c>
      <c r="N51" s="14">
        <f t="shared" si="4"/>
        <v>913900</v>
      </c>
      <c r="O51" s="14">
        <f t="shared" si="5"/>
        <v>185777.5</v>
      </c>
      <c r="P51" s="15">
        <v>66300</v>
      </c>
      <c r="Q51" s="16">
        <f>VLOOKUP(B51,[2]Sheet1!$C$2:$D$299,2,FALSE)</f>
        <v>41500</v>
      </c>
      <c r="R51" s="17">
        <v>28900</v>
      </c>
      <c r="S51" s="18">
        <f t="shared" si="6"/>
        <v>-12600</v>
      </c>
      <c r="T51" s="19">
        <f t="shared" si="7"/>
        <v>-37400</v>
      </c>
      <c r="U51" s="20" t="str">
        <f t="shared" si="8"/>
        <v>ATRASADO</v>
      </c>
      <c r="V51" s="21">
        <f>VLOOKUP(B51,'[3]Deal List'!$F$4:$Q$302,8,FALSE)</f>
        <v>3</v>
      </c>
      <c r="W51" s="22" t="str">
        <f>VLOOKUP(B51,'[3]Deal List'!$F$4:$Q$302,9,FALSE)</f>
        <v>DENEGADA</v>
      </c>
      <c r="X51" s="23" t="str">
        <f>VLOOKUP(B51,'[3]Deal List'!$F$4:$Q$302,12,FALSE)</f>
        <v>Cliente posee dos juicios, uno de Urgencia de providencia y otro tipo ejecutivo, ambos de la SAT. Adjuntar desistimientos.</v>
      </c>
    </row>
    <row r="52" spans="1:24" x14ac:dyDescent="0.3">
      <c r="A52" s="29" t="s">
        <v>61</v>
      </c>
      <c r="B52" s="29">
        <v>813</v>
      </c>
      <c r="C52" s="9" t="str">
        <f>VLOOKUP(B52,'[1]Matriz Precios A'!$B$3:$BN$301,2,FALSE)</f>
        <v>B6</v>
      </c>
      <c r="D52" s="10">
        <f>VLOOKUP(B52,'[1]Matriz Precios A'!$B$3:$BN$301,34,FALSE)</f>
        <v>895332.85</v>
      </c>
      <c r="E52" s="11">
        <f>VLOOKUP(B52,'[1]Matriz Precios A'!$B$3:$BN$301,3,FALSE)</f>
        <v>50.03</v>
      </c>
      <c r="F52" s="11">
        <v>0</v>
      </c>
      <c r="G52" s="12">
        <f>VLOOKUP(B52,'[1]Matriz Precios A'!$B$3:$BP$301,7,FALSE)</f>
        <v>1</v>
      </c>
      <c r="H52" s="13">
        <f t="shared" si="0"/>
        <v>12.5</v>
      </c>
      <c r="I52" s="13">
        <f>VLOOKUP(B52,'[1]Matriz Precios A'!$B$3:$BP$301,8,FALSE)</f>
        <v>0</v>
      </c>
      <c r="J52" s="11">
        <f t="shared" si="1"/>
        <v>0</v>
      </c>
      <c r="K52" s="13">
        <f t="shared" si="2"/>
        <v>0</v>
      </c>
      <c r="L52" s="11">
        <f t="shared" si="3"/>
        <v>62.53</v>
      </c>
      <c r="M52" s="14">
        <f>$H$196</f>
        <v>16800</v>
      </c>
      <c r="N52" s="14">
        <f t="shared" si="4"/>
        <v>1050600</v>
      </c>
      <c r="O52" s="14">
        <f t="shared" si="5"/>
        <v>155267.15000000002</v>
      </c>
      <c r="P52" s="15">
        <v>89632.85</v>
      </c>
      <c r="Q52" s="16">
        <f>VLOOKUP(B52,[2]Sheet1!$C$2:$D$299,2,FALSE)</f>
        <v>89640</v>
      </c>
      <c r="R52" s="17">
        <v>77394</v>
      </c>
      <c r="S52" s="18">
        <f t="shared" si="6"/>
        <v>-12246</v>
      </c>
      <c r="T52" s="19">
        <f t="shared" si="7"/>
        <v>-12238.850000000006</v>
      </c>
      <c r="U52" s="20" t="str">
        <f t="shared" si="8"/>
        <v>ATRASADO</v>
      </c>
      <c r="V52" s="21">
        <f>VLOOKUP(B52,'[3]Deal List'!$F$4:$Q$302,8,FALSE)</f>
        <v>2</v>
      </c>
      <c r="W52" s="22" t="str">
        <f>VLOOKUP(B52,'[3]Deal List'!$F$4:$Q$302,9,FALSE)</f>
        <v>APROBADA</v>
      </c>
      <c r="X52" s="23">
        <f>VLOOKUP(B52,'[3]Deal List'!$F$4:$Q$302,12,FALSE)</f>
        <v>0</v>
      </c>
    </row>
    <row r="53" spans="1:24" x14ac:dyDescent="0.3">
      <c r="A53" s="29" t="s">
        <v>62</v>
      </c>
      <c r="B53" s="27">
        <v>315</v>
      </c>
      <c r="C53" s="9" t="str">
        <f>VLOOKUP(B53,'[1]Matriz Precios A'!$B$3:$BN$301,2,FALSE)</f>
        <v>E1</v>
      </c>
      <c r="D53" s="10">
        <f>VLOOKUP(B53,'[1]Matriz Precios A'!$B$3:$BN$301,34,FALSE)</f>
        <v>1543626.9723517401</v>
      </c>
      <c r="E53" s="11">
        <f>VLOOKUP(B53,'[1]Matriz Precios A'!$B$3:$BN$301,3,FALSE)</f>
        <v>74.8</v>
      </c>
      <c r="F53" s="11">
        <v>0</v>
      </c>
      <c r="G53" s="12">
        <f>VLOOKUP(B53,'[1]Matriz Precios A'!$B$3:$BP$301,7,FALSE)</f>
        <v>0</v>
      </c>
      <c r="H53" s="13">
        <f t="shared" si="0"/>
        <v>0</v>
      </c>
      <c r="I53" s="13">
        <f>VLOOKUP(B53,'[1]Matriz Precios A'!$B$3:$BP$301,8,FALSE)</f>
        <v>1</v>
      </c>
      <c r="J53" s="11">
        <f t="shared" si="1"/>
        <v>25</v>
      </c>
      <c r="K53" s="13">
        <f t="shared" si="2"/>
        <v>5.3</v>
      </c>
      <c r="L53" s="11">
        <f t="shared" si="3"/>
        <v>105.1</v>
      </c>
      <c r="M53" s="14">
        <f>$H$201</f>
        <v>15392.061955469506</v>
      </c>
      <c r="N53" s="14">
        <f t="shared" si="4"/>
        <v>1617800</v>
      </c>
      <c r="O53" s="14">
        <f t="shared" si="5"/>
        <v>74173.027648259886</v>
      </c>
      <c r="P53" s="15">
        <v>154426.97</v>
      </c>
      <c r="Q53" s="16">
        <f>VLOOKUP(B53,[2]Sheet1!$C$2:$D$299,2,FALSE)</f>
        <v>121100</v>
      </c>
      <c r="R53" s="17">
        <v>109024</v>
      </c>
      <c r="S53" s="18">
        <f t="shared" si="6"/>
        <v>-12076</v>
      </c>
      <c r="T53" s="19">
        <f t="shared" si="7"/>
        <v>-45402.97</v>
      </c>
      <c r="U53" s="20" t="str">
        <f t="shared" si="8"/>
        <v>ATRASADO</v>
      </c>
      <c r="V53" s="21">
        <f>VLOOKUP(B53,'[3]Deal List'!$F$4:$Q$302,8,FALSE)</f>
        <v>3</v>
      </c>
      <c r="W53" s="22" t="str">
        <f>VLOOKUP(B53,'[3]Deal List'!$F$4:$Q$302,9,FALSE)</f>
        <v>APROBADA</v>
      </c>
      <c r="X53" s="23">
        <f>VLOOKUP(B53,'[3]Deal List'!$F$4:$Q$302,12,FALSE)</f>
        <v>0</v>
      </c>
    </row>
    <row r="54" spans="1:24" x14ac:dyDescent="0.3">
      <c r="A54" s="41" t="s">
        <v>63</v>
      </c>
      <c r="B54" s="27">
        <v>405</v>
      </c>
      <c r="C54" s="9" t="str">
        <f>VLOOKUP(B54,'[1]Matriz Precios A'!$B$3:$BN$301,2,FALSE)</f>
        <v>B7</v>
      </c>
      <c r="D54" s="10">
        <f>VLOOKUP(B54,'[1]Matriz Precios A'!$B$3:$BN$301,34,FALSE)</f>
        <v>1112465.60916772</v>
      </c>
      <c r="E54" s="11">
        <f>VLOOKUP(B54,'[1]Matriz Precios A'!$B$3:$BN$301,3,FALSE)</f>
        <v>53.1</v>
      </c>
      <c r="F54" s="11">
        <v>0</v>
      </c>
      <c r="G54" s="12">
        <f>VLOOKUP(B54,'[1]Matriz Precios A'!$B$3:$BP$301,7,FALSE)</f>
        <v>1</v>
      </c>
      <c r="H54" s="13">
        <f t="shared" si="0"/>
        <v>12.5</v>
      </c>
      <c r="I54" s="13">
        <f>VLOOKUP(B54,'[1]Matriz Precios A'!$B$3:$BP$301,8,FALSE)</f>
        <v>0</v>
      </c>
      <c r="J54" s="11">
        <f t="shared" si="1"/>
        <v>0</v>
      </c>
      <c r="K54" s="13">
        <f t="shared" si="2"/>
        <v>0</v>
      </c>
      <c r="L54" s="11">
        <f t="shared" si="3"/>
        <v>65.599999999999994</v>
      </c>
      <c r="M54" s="14">
        <f>$H$196</f>
        <v>16800</v>
      </c>
      <c r="N54" s="14">
        <f t="shared" si="4"/>
        <v>1102100</v>
      </c>
      <c r="O54" s="32">
        <f t="shared" si="5"/>
        <v>-10365.609167719958</v>
      </c>
      <c r="P54" s="15">
        <v>78400</v>
      </c>
      <c r="Q54" s="16">
        <f>VLOOKUP(B54,[2]Sheet1!$C$2:$D$299,2,FALSE)</f>
        <v>32800</v>
      </c>
      <c r="R54" s="17">
        <v>21400</v>
      </c>
      <c r="S54" s="18">
        <f t="shared" si="6"/>
        <v>-11400</v>
      </c>
      <c r="T54" s="19">
        <f t="shared" si="7"/>
        <v>-57000</v>
      </c>
      <c r="U54" s="20" t="str">
        <f t="shared" si="8"/>
        <v>ATRASADO</v>
      </c>
      <c r="V54" s="21">
        <f>VLOOKUP(B54,'[3]Deal List'!$F$4:$Q$302,8,FALSE)</f>
        <v>4</v>
      </c>
      <c r="W54" s="22" t="str">
        <f>VLOOKUP(B54,'[3]Deal List'!$F$4:$Q$302,9,FALSE)</f>
        <v>APROBADA</v>
      </c>
      <c r="X54" s="23">
        <f>VLOOKUP(B54,'[3]Deal List'!$F$4:$Q$302,12,FALSE)</f>
        <v>0</v>
      </c>
    </row>
    <row r="55" spans="1:24" x14ac:dyDescent="0.3">
      <c r="A55" s="9" t="s">
        <v>64</v>
      </c>
      <c r="B55" s="9">
        <v>1001</v>
      </c>
      <c r="C55" s="9" t="str">
        <f>VLOOKUP(B55,'[1]Matriz Precios A'!$B$3:$BN$301,2,FALSE)</f>
        <v>C4</v>
      </c>
      <c r="D55" s="10">
        <f>VLOOKUP(B55,'[1]Matriz Precios A'!$B$3:$BN$301,34,FALSE)</f>
        <v>1097100</v>
      </c>
      <c r="E55" s="11">
        <f>VLOOKUP(B55,'[1]Matriz Precios A'!$B$3:$BN$301,3,FALSE)</f>
        <v>54.09</v>
      </c>
      <c r="F55" s="11">
        <v>0</v>
      </c>
      <c r="G55" s="12">
        <f>VLOOKUP(B55,'[1]Matriz Precios A'!$B$3:$BP$301,7,FALSE)</f>
        <v>0</v>
      </c>
      <c r="H55" s="13">
        <f t="shared" si="0"/>
        <v>0</v>
      </c>
      <c r="I55" s="13">
        <f>VLOOKUP(B55,'[1]Matriz Precios A'!$B$3:$BP$301,8,FALSE)</f>
        <v>1</v>
      </c>
      <c r="J55" s="11">
        <f t="shared" si="1"/>
        <v>25</v>
      </c>
      <c r="K55" s="13">
        <f t="shared" si="2"/>
        <v>5.3</v>
      </c>
      <c r="L55" s="11">
        <f t="shared" si="3"/>
        <v>84.39</v>
      </c>
      <c r="M55" s="14">
        <f>$H$199</f>
        <v>15826.494724501759</v>
      </c>
      <c r="N55" s="14">
        <f t="shared" si="4"/>
        <v>1335600</v>
      </c>
      <c r="O55" s="14">
        <f t="shared" si="5"/>
        <v>238500</v>
      </c>
      <c r="P55" s="16">
        <v>109800</v>
      </c>
      <c r="Q55" s="16">
        <f>VLOOKUP(B55,[2]Sheet1!$C$2:$D$299,2,FALSE)</f>
        <v>109800</v>
      </c>
      <c r="R55" s="17">
        <v>99054</v>
      </c>
      <c r="S55" s="18">
        <f t="shared" si="6"/>
        <v>-10746</v>
      </c>
      <c r="T55" s="19">
        <f t="shared" si="7"/>
        <v>-10746</v>
      </c>
      <c r="U55" s="20" t="str">
        <f t="shared" si="8"/>
        <v>ATRASADO</v>
      </c>
      <c r="V55" s="21">
        <f>VLOOKUP(B55,'[3]Deal List'!$F$4:$Q$302,8,FALSE)</f>
        <v>1</v>
      </c>
      <c r="W55" s="22" t="str">
        <f>VLOOKUP(B55,'[3]Deal List'!$F$4:$Q$302,9,FALSE)</f>
        <v>DENEGADA</v>
      </c>
      <c r="X55" s="23" t="str">
        <f>VLOOKUP(B55,'[3]Deal List'!$F$4:$Q$302,12,FALSE)</f>
        <v>Cliente posee un RCI del 52% (TCs por Q45 mil) adicionar otro deudor, incrementar ingresos / enganche o cancelar deuda.</v>
      </c>
    </row>
    <row r="56" spans="1:24" x14ac:dyDescent="0.3">
      <c r="A56" s="9" t="s">
        <v>65</v>
      </c>
      <c r="B56" s="9">
        <v>817</v>
      </c>
      <c r="C56" s="9" t="str">
        <f>VLOOKUP(B56,'[1]Matriz Precios A'!$B$3:$BN$301,2,FALSE)</f>
        <v>A6</v>
      </c>
      <c r="D56" s="10">
        <f>VLOOKUP(B56,'[1]Matriz Precios A'!$B$3:$BN$301,34,FALSE)</f>
        <v>657132.30000000005</v>
      </c>
      <c r="E56" s="11">
        <f>VLOOKUP(B56,'[1]Matriz Precios A'!$B$3:$BN$301,3,FALSE)</f>
        <v>35.69</v>
      </c>
      <c r="F56" s="11">
        <v>0</v>
      </c>
      <c r="G56" s="12">
        <f>VLOOKUP(B56,'[1]Matriz Precios A'!$B$3:$BP$301,7,FALSE)</f>
        <v>1</v>
      </c>
      <c r="H56" s="13">
        <f t="shared" si="0"/>
        <v>12.5</v>
      </c>
      <c r="I56" s="13">
        <f>VLOOKUP(B56,'[1]Matriz Precios A'!$B$3:$BP$301,8,FALSE)</f>
        <v>0</v>
      </c>
      <c r="J56" s="11">
        <f t="shared" si="1"/>
        <v>0</v>
      </c>
      <c r="K56" s="13">
        <f t="shared" si="2"/>
        <v>0</v>
      </c>
      <c r="L56" s="11">
        <f t="shared" si="3"/>
        <v>48.19</v>
      </c>
      <c r="M56" s="14">
        <f>$H$195</f>
        <v>18865.9793814433</v>
      </c>
      <c r="N56" s="14">
        <f t="shared" si="4"/>
        <v>909200</v>
      </c>
      <c r="O56" s="14">
        <f t="shared" si="5"/>
        <v>252067.69999999995</v>
      </c>
      <c r="P56" s="42">
        <v>65732.3</v>
      </c>
      <c r="Q56" s="16">
        <f>VLOOKUP(B56,[2]Sheet1!$C$2:$D$299,2,FALSE)</f>
        <v>65732.3</v>
      </c>
      <c r="R56" s="17">
        <v>55500</v>
      </c>
      <c r="S56" s="18">
        <f t="shared" si="6"/>
        <v>-10232.300000000003</v>
      </c>
      <c r="T56" s="19">
        <f t="shared" si="7"/>
        <v>-10232.300000000003</v>
      </c>
      <c r="U56" s="20" t="str">
        <f t="shared" si="8"/>
        <v>ATRASADO</v>
      </c>
      <c r="V56" s="21">
        <f>VLOOKUP(B56,'[3]Deal List'!$F$4:$Q$302,8,FALSE)</f>
        <v>1</v>
      </c>
      <c r="W56" s="22" t="str">
        <f>VLOOKUP(B56,'[3]Deal List'!$F$4:$Q$302,9,FALSE)</f>
        <v>DENEGADA</v>
      </c>
      <c r="X56" s="23" t="str">
        <f>VLOOKUP(B56,'[3]Deal List'!$F$4:$Q$302,12,FALSE)</f>
        <v>Cliente posee un RCI del 75% (Credito hipotecario por Q905 mil y TCs por Q62 mil) se sugiere adicionar otro deudor.</v>
      </c>
    </row>
    <row r="57" spans="1:24" x14ac:dyDescent="0.3">
      <c r="A57" s="31" t="s">
        <v>66</v>
      </c>
      <c r="B57" s="27">
        <v>302</v>
      </c>
      <c r="C57" s="9" t="str">
        <f>VLOOKUP(B57,'[1]Matriz Precios A'!$B$3:$BN$301,2,FALSE)</f>
        <v>C2</v>
      </c>
      <c r="D57" s="10">
        <f>VLOOKUP(B57,'[1]Matriz Precios A'!$B$3:$BN$301,34,FALSE)</f>
        <v>1373424.4362473199</v>
      </c>
      <c r="E57" s="11">
        <f>VLOOKUP(B57,'[1]Matriz Precios A'!$B$3:$BN$301,3,FALSE)</f>
        <v>54.73</v>
      </c>
      <c r="F57" s="11">
        <v>0</v>
      </c>
      <c r="G57" s="12">
        <f>VLOOKUP(B57,'[1]Matriz Precios A'!$B$3:$BP$301,7,FALSE)</f>
        <v>0</v>
      </c>
      <c r="H57" s="13">
        <f t="shared" si="0"/>
        <v>0</v>
      </c>
      <c r="I57" s="13">
        <f>VLOOKUP(B57,'[1]Matriz Precios A'!$B$3:$BP$301,8,FALSE)</f>
        <v>1</v>
      </c>
      <c r="J57" s="11">
        <f t="shared" si="1"/>
        <v>25</v>
      </c>
      <c r="K57" s="13">
        <f t="shared" si="2"/>
        <v>5.3</v>
      </c>
      <c r="L57" s="11">
        <f t="shared" si="3"/>
        <v>85.029999999999987</v>
      </c>
      <c r="M57" s="14">
        <f>$H$199</f>
        <v>15826.494724501759</v>
      </c>
      <c r="N57" s="14">
        <f t="shared" si="4"/>
        <v>1345800</v>
      </c>
      <c r="O57" s="32">
        <f t="shared" si="5"/>
        <v>-27624.436247319914</v>
      </c>
      <c r="P57" s="15">
        <v>101929.9</v>
      </c>
      <c r="Q57" s="16">
        <f>VLOOKUP(B57,[2]Sheet1!$C$2:$D$299,2,FALSE)</f>
        <v>65200</v>
      </c>
      <c r="R57" s="17">
        <v>56000</v>
      </c>
      <c r="S57" s="18">
        <f t="shared" si="6"/>
        <v>-9200</v>
      </c>
      <c r="T57" s="19">
        <f t="shared" si="7"/>
        <v>-45929.899999999994</v>
      </c>
      <c r="U57" s="20" t="str">
        <f t="shared" si="8"/>
        <v>ATRASADO</v>
      </c>
      <c r="V57" s="21">
        <f>VLOOKUP(B57,'[3]Deal List'!$F$4:$Q$302,8,FALSE)</f>
        <v>3</v>
      </c>
      <c r="W57" s="22" t="str">
        <f>VLOOKUP(B57,'[3]Deal List'!$F$4:$Q$302,9,FALSE)</f>
        <v>APROBADA</v>
      </c>
      <c r="X57" s="23">
        <f>VLOOKUP(B57,'[3]Deal List'!$F$4:$Q$302,12,FALSE)</f>
        <v>0</v>
      </c>
    </row>
    <row r="58" spans="1:24" x14ac:dyDescent="0.3">
      <c r="A58" s="9" t="s">
        <v>67</v>
      </c>
      <c r="B58" s="9">
        <v>1609</v>
      </c>
      <c r="C58" s="9" t="str">
        <f>VLOOKUP(B58,'[1]Matriz Precios A'!$B$3:$BN$301,2,FALSE)</f>
        <v>B4</v>
      </c>
      <c r="D58" s="10">
        <f>VLOOKUP(B58,'[1]Matriz Precios A'!$B$3:$BN$301,34,FALSE)</f>
        <v>860950.58400499995</v>
      </c>
      <c r="E58" s="11">
        <f>VLOOKUP(B58,'[1]Matriz Precios A'!$B$3:$BN$301,3,FALSE)</f>
        <v>49.77</v>
      </c>
      <c r="F58" s="11">
        <v>0</v>
      </c>
      <c r="G58" s="12">
        <f>VLOOKUP(B58,'[1]Matriz Precios A'!$B$3:$BP$301,7,FALSE)</f>
        <v>1</v>
      </c>
      <c r="H58" s="13">
        <f t="shared" si="0"/>
        <v>12.5</v>
      </c>
      <c r="I58" s="13">
        <f>VLOOKUP(B58,'[1]Matriz Precios A'!$B$3:$BP$301,8,FALSE)</f>
        <v>0</v>
      </c>
      <c r="J58" s="11">
        <f t="shared" si="1"/>
        <v>0</v>
      </c>
      <c r="K58" s="13">
        <f t="shared" si="2"/>
        <v>0</v>
      </c>
      <c r="L58" s="11">
        <f t="shared" si="3"/>
        <v>62.27</v>
      </c>
      <c r="M58" s="14">
        <f>$H$196</f>
        <v>16800</v>
      </c>
      <c r="N58" s="14">
        <f t="shared" si="4"/>
        <v>1046200</v>
      </c>
      <c r="O58" s="14">
        <f t="shared" si="5"/>
        <v>185249.41599500005</v>
      </c>
      <c r="P58" s="16">
        <v>86150.58</v>
      </c>
      <c r="Q58" s="16">
        <f>VLOOKUP(B58,[2]Sheet1!$C$2:$D$299,2,FALSE)</f>
        <v>86150.58</v>
      </c>
      <c r="R58" s="17">
        <v>76990</v>
      </c>
      <c r="S58" s="18">
        <f t="shared" si="6"/>
        <v>-9160.5800000000017</v>
      </c>
      <c r="T58" s="19">
        <f t="shared" si="7"/>
        <v>-9160.5800000000017</v>
      </c>
      <c r="U58" s="20" t="str">
        <f t="shared" si="8"/>
        <v>ATRASADO</v>
      </c>
      <c r="V58" s="21">
        <f>VLOOKUP(B58,'[3]Deal List'!$F$4:$Q$302,8,FALSE)</f>
        <v>1</v>
      </c>
      <c r="W58" s="22" t="str">
        <f>VLOOKUP(B58,'[3]Deal List'!$F$4:$Q$302,9,FALSE)</f>
        <v>DENEGADA</v>
      </c>
      <c r="X58" s="23" t="str">
        <f>VLOOKUP(B58,'[3]Deal List'!$F$4:$Q$302,12,FALSE)</f>
        <v>Cliente es calificación B y C, presentar finiquito y  posee una cuenta en Cobro Judicial de Banco Industrial</v>
      </c>
    </row>
    <row r="59" spans="1:24" x14ac:dyDescent="0.3">
      <c r="A59" s="9" t="s">
        <v>68</v>
      </c>
      <c r="B59" s="9">
        <v>810</v>
      </c>
      <c r="C59" s="9" t="str">
        <f>VLOOKUP(B59,'[1]Matriz Precios A'!$B$3:$BN$301,2,FALSE)</f>
        <v>A4</v>
      </c>
      <c r="D59" s="10">
        <f>VLOOKUP(B59,'[1]Matriz Precios A'!$B$3:$BN$301,34,FALSE)</f>
        <v>697500</v>
      </c>
      <c r="E59" s="11">
        <f>VLOOKUP(B59,'[1]Matriz Precios A'!$B$3:$BN$301,3,FALSE)</f>
        <v>35.549999999999997</v>
      </c>
      <c r="F59" s="11">
        <v>0</v>
      </c>
      <c r="G59" s="12">
        <f>VLOOKUP(B59,'[1]Matriz Precios A'!$B$3:$BP$301,7,FALSE)</f>
        <v>1</v>
      </c>
      <c r="H59" s="13">
        <f t="shared" si="0"/>
        <v>12.5</v>
      </c>
      <c r="I59" s="13">
        <f>VLOOKUP(B59,'[1]Matriz Precios A'!$B$3:$BP$301,8,FALSE)</f>
        <v>0</v>
      </c>
      <c r="J59" s="11">
        <f t="shared" si="1"/>
        <v>0</v>
      </c>
      <c r="K59" s="13">
        <f t="shared" si="2"/>
        <v>0</v>
      </c>
      <c r="L59" s="11">
        <f t="shared" si="3"/>
        <v>48.05</v>
      </c>
      <c r="M59" s="14">
        <f>$H$195</f>
        <v>18865.9793814433</v>
      </c>
      <c r="N59" s="14">
        <f t="shared" si="4"/>
        <v>906600</v>
      </c>
      <c r="O59" s="14">
        <f t="shared" si="5"/>
        <v>209100</v>
      </c>
      <c r="P59" s="42">
        <v>70000</v>
      </c>
      <c r="Q59" s="16">
        <f>VLOOKUP(B59,[2]Sheet1!$C$2:$D$299,2,FALSE)</f>
        <v>70000</v>
      </c>
      <c r="R59" s="17">
        <v>62000</v>
      </c>
      <c r="S59" s="18">
        <f t="shared" si="6"/>
        <v>-8000</v>
      </c>
      <c r="T59" s="19">
        <f t="shared" si="7"/>
        <v>-8000</v>
      </c>
      <c r="U59" s="20" t="str">
        <f t="shared" si="8"/>
        <v>ATRASADO</v>
      </c>
      <c r="V59" s="21">
        <f>VLOOKUP(B59,'[3]Deal List'!$F$4:$Q$302,8,FALSE)</f>
        <v>1</v>
      </c>
      <c r="W59" s="22" t="str">
        <f>VLOOKUP(B59,'[3]Deal List'!$F$4:$Q$302,9,FALSE)</f>
        <v>DENEGADA</v>
      </c>
      <c r="X59" s="23" t="str">
        <f>VLOOKUP(B59,'[3]Deal List'!$F$4:$Q$302,12,FALSE)</f>
        <v>Clientes poseen un RCI del 51% (Wendy Barillas posee TC con Q150 mil) Incrementar ingresos o cancelar deuda</v>
      </c>
    </row>
    <row r="60" spans="1:24" x14ac:dyDescent="0.3">
      <c r="A60" s="29" t="s">
        <v>69</v>
      </c>
      <c r="B60" s="29">
        <v>703</v>
      </c>
      <c r="C60" s="9" t="str">
        <f>VLOOKUP(B60,'[1]Matriz Precios A'!$B$3:$BN$301,2,FALSE)</f>
        <v>B4</v>
      </c>
      <c r="D60" s="10">
        <f>VLOOKUP(B60,'[1]Matriz Precios A'!$B$3:$BN$301,34,FALSE)</f>
        <v>901400</v>
      </c>
      <c r="E60" s="11">
        <f>VLOOKUP(B60,'[1]Matriz Precios A'!$B$3:$BN$301,3,FALSE)</f>
        <v>49.77</v>
      </c>
      <c r="F60" s="11">
        <v>0</v>
      </c>
      <c r="G60" s="12">
        <f>VLOOKUP(B60,'[1]Matriz Precios A'!$B$3:$BP$301,7,FALSE)</f>
        <v>1</v>
      </c>
      <c r="H60" s="13">
        <f t="shared" si="0"/>
        <v>12.5</v>
      </c>
      <c r="I60" s="13">
        <f>VLOOKUP(B60,'[1]Matriz Precios A'!$B$3:$BP$301,8,FALSE)</f>
        <v>0</v>
      </c>
      <c r="J60" s="11">
        <f t="shared" si="1"/>
        <v>0</v>
      </c>
      <c r="K60" s="13">
        <f t="shared" si="2"/>
        <v>0</v>
      </c>
      <c r="L60" s="11">
        <f t="shared" si="3"/>
        <v>62.27</v>
      </c>
      <c r="M60" s="14">
        <f>$H$196</f>
        <v>16800</v>
      </c>
      <c r="N60" s="14">
        <f t="shared" si="4"/>
        <v>1046200</v>
      </c>
      <c r="O60" s="14">
        <f t="shared" si="5"/>
        <v>144800</v>
      </c>
      <c r="P60" s="15">
        <v>90200</v>
      </c>
      <c r="Q60" s="16">
        <f>VLOOKUP(B60,[2]Sheet1!$C$2:$D$299,2,FALSE)</f>
        <v>90200</v>
      </c>
      <c r="R60" s="17">
        <v>82237</v>
      </c>
      <c r="S60" s="18">
        <f t="shared" si="6"/>
        <v>-7963</v>
      </c>
      <c r="T60" s="19">
        <f t="shared" si="7"/>
        <v>-7963</v>
      </c>
      <c r="U60" s="20" t="str">
        <f t="shared" si="8"/>
        <v>ATRASADO</v>
      </c>
      <c r="V60" s="21">
        <f>VLOOKUP(B60,'[3]Deal List'!$F$4:$Q$302,8,FALSE)</f>
        <v>2</v>
      </c>
      <c r="W60" s="22" t="str">
        <f>VLOOKUP(B60,'[3]Deal List'!$F$4:$Q$302,9,FALSE)</f>
        <v>APROBADA</v>
      </c>
      <c r="X60" s="23">
        <f>VLOOKUP(B60,'[3]Deal List'!$F$4:$Q$302,12,FALSE)</f>
        <v>0</v>
      </c>
    </row>
    <row r="61" spans="1:24" x14ac:dyDescent="0.3">
      <c r="A61" s="29" t="s">
        <v>70</v>
      </c>
      <c r="B61" s="29">
        <v>1114</v>
      </c>
      <c r="C61" s="9" t="str">
        <f>VLOOKUP(B61,'[1]Matriz Precios A'!$B$3:$BN$301,2,FALSE)</f>
        <v>A11</v>
      </c>
      <c r="D61" s="10">
        <f>VLOOKUP(B61,'[1]Matriz Precios A'!$B$3:$BN$301,34,FALSE)</f>
        <v>748092.41</v>
      </c>
      <c r="E61" s="11">
        <f>VLOOKUP(B61,'[1]Matriz Precios A'!$B$3:$BN$301,3,FALSE)</f>
        <v>41.2</v>
      </c>
      <c r="F61" s="11">
        <v>0</v>
      </c>
      <c r="G61" s="12">
        <f>VLOOKUP(B61,'[1]Matriz Precios A'!$B$3:$BP$301,7,FALSE)</f>
        <v>1</v>
      </c>
      <c r="H61" s="13">
        <f t="shared" si="0"/>
        <v>12.5</v>
      </c>
      <c r="I61" s="13">
        <f>VLOOKUP(B61,'[1]Matriz Precios A'!$B$3:$BP$301,8,FALSE)</f>
        <v>0</v>
      </c>
      <c r="J61" s="11">
        <f t="shared" si="1"/>
        <v>0</v>
      </c>
      <c r="K61" s="13">
        <f t="shared" si="2"/>
        <v>0</v>
      </c>
      <c r="L61" s="11">
        <f t="shared" si="3"/>
        <v>53.7</v>
      </c>
      <c r="M61" s="30">
        <f>$H$195</f>
        <v>18865.9793814433</v>
      </c>
      <c r="N61" s="14">
        <f t="shared" si="4"/>
        <v>1013200</v>
      </c>
      <c r="O61" s="14">
        <f t="shared" si="5"/>
        <v>265107.58999999997</v>
      </c>
      <c r="P61" s="15">
        <v>77986.52</v>
      </c>
      <c r="Q61" s="16">
        <f>VLOOKUP(B61,[2]Sheet1!$C$2:$D$299,2,FALSE)</f>
        <v>85354.52</v>
      </c>
      <c r="R61" s="17">
        <v>78656</v>
      </c>
      <c r="S61" s="18">
        <f t="shared" si="6"/>
        <v>-6698.5200000000041</v>
      </c>
      <c r="T61" s="43">
        <f t="shared" si="7"/>
        <v>669.47999999999593</v>
      </c>
      <c r="U61" s="20" t="str">
        <f t="shared" si="8"/>
        <v>ATRASADO</v>
      </c>
      <c r="V61" s="21">
        <f>VLOOKUP(B61,'[3]Deal List'!$F$4:$Q$302,8,FALSE)</f>
        <v>2</v>
      </c>
      <c r="W61" s="22" t="str">
        <f>VLOOKUP(B61,'[3]Deal List'!$F$4:$Q$302,9,FALSE)</f>
        <v>APROBADA</v>
      </c>
      <c r="X61" s="23">
        <f>VLOOKUP(B61,'[3]Deal List'!$F$4:$Q$302,12,FALSE)</f>
        <v>0</v>
      </c>
    </row>
    <row r="62" spans="1:24" x14ac:dyDescent="0.3">
      <c r="A62" s="9" t="s">
        <v>71</v>
      </c>
      <c r="B62" s="9">
        <v>1804</v>
      </c>
      <c r="C62" s="9" t="str">
        <f>VLOOKUP(B62,'[1]Matriz Precios A'!$B$3:$BN$301,2,FALSE)</f>
        <v>A5</v>
      </c>
      <c r="D62" s="10">
        <f>VLOOKUP(B62,'[1]Matriz Precios A'!$B$3:$BN$301,34,FALSE)</f>
        <v>617600</v>
      </c>
      <c r="E62" s="11">
        <f>VLOOKUP(B62,'[1]Matriz Precios A'!$B$3:$BN$301,3,FALSE)</f>
        <v>32.57</v>
      </c>
      <c r="F62" s="11">
        <v>0</v>
      </c>
      <c r="G62" s="12">
        <f>VLOOKUP(B62,'[1]Matriz Precios A'!$B$3:$BP$301,7,FALSE)</f>
        <v>1</v>
      </c>
      <c r="H62" s="13">
        <f t="shared" si="0"/>
        <v>12.5</v>
      </c>
      <c r="I62" s="13">
        <f>VLOOKUP(B62,'[1]Matriz Precios A'!$B$3:$BP$301,8,FALSE)</f>
        <v>0</v>
      </c>
      <c r="J62" s="11">
        <f t="shared" si="1"/>
        <v>0</v>
      </c>
      <c r="K62" s="13">
        <f t="shared" si="2"/>
        <v>0</v>
      </c>
      <c r="L62" s="11">
        <f t="shared" si="3"/>
        <v>45.07</v>
      </c>
      <c r="M62" s="14">
        <f>$H$195</f>
        <v>18865.9793814433</v>
      </c>
      <c r="N62" s="14">
        <f t="shared" si="4"/>
        <v>850300</v>
      </c>
      <c r="O62" s="14">
        <f t="shared" si="5"/>
        <v>232700</v>
      </c>
      <c r="P62" s="16">
        <v>62000</v>
      </c>
      <c r="Q62" s="16">
        <f>VLOOKUP(B62,[2]Sheet1!$C$2:$D$299,2,FALSE)</f>
        <v>62000</v>
      </c>
      <c r="R62" s="17">
        <v>56860</v>
      </c>
      <c r="S62" s="18">
        <f t="shared" si="6"/>
        <v>-5140</v>
      </c>
      <c r="T62" s="19">
        <f t="shared" si="7"/>
        <v>-5140</v>
      </c>
      <c r="U62" s="20" t="str">
        <f t="shared" si="8"/>
        <v>ATRASADO</v>
      </c>
      <c r="V62" s="21">
        <f>VLOOKUP(B62,'[3]Deal List'!$F$4:$Q$302,8,FALSE)</f>
        <v>1</v>
      </c>
      <c r="W62" s="22" t="str">
        <f>VLOOKUP(B62,'[3]Deal List'!$F$4:$Q$302,9,FALSE)</f>
        <v>DENEGADA</v>
      </c>
      <c r="X62" s="23" t="str">
        <f>VLOOKUP(B62,'[3]Deal List'!$F$4:$Q$302,12,FALSE)</f>
        <v>Cliente posee un RCI del 59% endeudamiento principal de: Prendario por Q341 mil, hipotecario Q197 mil y TCs por Q30 mil</v>
      </c>
    </row>
    <row r="63" spans="1:24" x14ac:dyDescent="0.3">
      <c r="A63" s="9" t="s">
        <v>72</v>
      </c>
      <c r="B63" s="9">
        <v>1806</v>
      </c>
      <c r="C63" s="9" t="str">
        <f>VLOOKUP(B63,'[1]Matriz Precios A'!$B$3:$BN$301,2,FALSE)</f>
        <v>B4</v>
      </c>
      <c r="D63" s="10">
        <f>VLOOKUP(B63,'[1]Matriz Precios A'!$B$3:$BN$301,34,FALSE)</f>
        <v>860950.58400499995</v>
      </c>
      <c r="E63" s="11">
        <f>VLOOKUP(B63,'[1]Matriz Precios A'!$B$3:$BN$301,3,FALSE)</f>
        <v>49.77</v>
      </c>
      <c r="F63" s="11">
        <v>0</v>
      </c>
      <c r="G63" s="12">
        <f>VLOOKUP(B63,'[1]Matriz Precios A'!$B$3:$BP$301,7,FALSE)</f>
        <v>1</v>
      </c>
      <c r="H63" s="13">
        <f t="shared" si="0"/>
        <v>12.5</v>
      </c>
      <c r="I63" s="13">
        <f>VLOOKUP(B63,'[1]Matriz Precios A'!$B$3:$BP$301,8,FALSE)</f>
        <v>0</v>
      </c>
      <c r="J63" s="11">
        <f t="shared" si="1"/>
        <v>0</v>
      </c>
      <c r="K63" s="13">
        <f t="shared" si="2"/>
        <v>0</v>
      </c>
      <c r="L63" s="11">
        <f t="shared" si="3"/>
        <v>62.27</v>
      </c>
      <c r="M63" s="14">
        <f>$H$196</f>
        <v>16800</v>
      </c>
      <c r="N63" s="14">
        <f t="shared" si="4"/>
        <v>1046200</v>
      </c>
      <c r="O63" s="14">
        <f t="shared" si="5"/>
        <v>185249.41599500005</v>
      </c>
      <c r="P63" s="16">
        <v>86150.58</v>
      </c>
      <c r="Q63" s="16">
        <f>VLOOKUP(B63,[2]Sheet1!$C$2:$D$299,2,FALSE)</f>
        <v>86150.58</v>
      </c>
      <c r="R63" s="17">
        <v>81570</v>
      </c>
      <c r="S63" s="18">
        <f t="shared" si="6"/>
        <v>-4580.5800000000017</v>
      </c>
      <c r="T63" s="19">
        <f t="shared" si="7"/>
        <v>-4580.5800000000017</v>
      </c>
      <c r="U63" s="20" t="str">
        <f t="shared" si="8"/>
        <v>ATRASADO</v>
      </c>
      <c r="V63" s="21">
        <f>VLOOKUP(B63,'[3]Deal List'!$F$4:$Q$302,8,FALSE)</f>
        <v>1</v>
      </c>
      <c r="W63" s="22" t="str">
        <f>VLOOKUP(B63,'[3]Deal List'!$F$4:$Q$302,9,FALSE)</f>
        <v>APROBADA</v>
      </c>
      <c r="X63" s="23">
        <f>VLOOKUP(B63,'[3]Deal List'!$F$4:$Q$302,12,FALSE)</f>
        <v>0</v>
      </c>
    </row>
    <row r="64" spans="1:24" x14ac:dyDescent="0.3">
      <c r="A64" s="9" t="s">
        <v>73</v>
      </c>
      <c r="B64" s="9">
        <v>1412</v>
      </c>
      <c r="C64" s="9" t="str">
        <f>VLOOKUP(B64,'[1]Matriz Precios A'!$B$3:$BN$301,2,FALSE)</f>
        <v>A4</v>
      </c>
      <c r="D64" s="10">
        <f>VLOOKUP(B64,'[1]Matriz Precios A'!$B$3:$BN$301,34,FALSE)</f>
        <v>661100</v>
      </c>
      <c r="E64" s="11">
        <f>VLOOKUP(B64,'[1]Matriz Precios A'!$B$3:$BN$301,3,FALSE)</f>
        <v>35.549999999999997</v>
      </c>
      <c r="F64" s="11">
        <v>0</v>
      </c>
      <c r="G64" s="12">
        <f>VLOOKUP(B64,'[1]Matriz Precios A'!$B$3:$BP$301,7,FALSE)</f>
        <v>1</v>
      </c>
      <c r="H64" s="13">
        <f t="shared" si="0"/>
        <v>12.5</v>
      </c>
      <c r="I64" s="13">
        <f>VLOOKUP(B64,'[1]Matriz Precios A'!$B$3:$BP$301,8,FALSE)</f>
        <v>0</v>
      </c>
      <c r="J64" s="11">
        <f t="shared" si="1"/>
        <v>0</v>
      </c>
      <c r="K64" s="13">
        <f t="shared" si="2"/>
        <v>0</v>
      </c>
      <c r="L64" s="11">
        <f t="shared" si="3"/>
        <v>48.05</v>
      </c>
      <c r="M64" s="14">
        <f>$H$195</f>
        <v>18865.9793814433</v>
      </c>
      <c r="N64" s="14">
        <f t="shared" si="4"/>
        <v>906600</v>
      </c>
      <c r="O64" s="14">
        <f t="shared" si="5"/>
        <v>245500</v>
      </c>
      <c r="P64" s="16">
        <v>66200</v>
      </c>
      <c r="Q64" s="16">
        <f>VLOOKUP(B64,[2]Sheet1!$C$2:$D$299,2,FALSE)</f>
        <v>66200</v>
      </c>
      <c r="R64" s="17">
        <v>62000</v>
      </c>
      <c r="S64" s="18">
        <f t="shared" si="6"/>
        <v>-4200</v>
      </c>
      <c r="T64" s="19">
        <f t="shared" si="7"/>
        <v>-4200</v>
      </c>
      <c r="U64" s="20" t="str">
        <f t="shared" si="8"/>
        <v>ATRASADO</v>
      </c>
      <c r="V64" s="21">
        <f>VLOOKUP(B64,'[3]Deal List'!$F$4:$Q$302,8,FALSE)</f>
        <v>1</v>
      </c>
      <c r="W64" s="22" t="str">
        <f>VLOOKUP(B64,'[3]Deal List'!$F$4:$Q$302,9,FALSE)</f>
        <v>DENEGADA</v>
      </c>
      <c r="X64" s="23" t="str">
        <f>VLOOKUP(B64,'[3]Deal List'!$F$4:$Q$302,12,FALSE)</f>
        <v>Cliente posee RCI del 93% (Adicionar otro deudor o cancelar deudas)</v>
      </c>
    </row>
    <row r="65" spans="1:24" x14ac:dyDescent="0.3">
      <c r="A65" s="44" t="s">
        <v>74</v>
      </c>
      <c r="B65" s="29">
        <v>814</v>
      </c>
      <c r="C65" s="9" t="str">
        <f>VLOOKUP(B65,'[1]Matriz Precios A'!$B$3:$BN$301,2,FALSE)</f>
        <v>B1</v>
      </c>
      <c r="D65" s="10">
        <f>VLOOKUP(B65,'[1]Matriz Precios A'!$B$3:$BN$301,34,FALSE)</f>
        <v>883300</v>
      </c>
      <c r="E65" s="11">
        <f>VLOOKUP(B65,'[1]Matriz Precios A'!$B$3:$BN$301,3,FALSE)</f>
        <v>48.69</v>
      </c>
      <c r="F65" s="11">
        <v>0</v>
      </c>
      <c r="G65" s="12">
        <f>VLOOKUP(B65,'[1]Matriz Precios A'!$B$3:$BP$301,7,FALSE)</f>
        <v>1</v>
      </c>
      <c r="H65" s="13">
        <f t="shared" si="0"/>
        <v>12.5</v>
      </c>
      <c r="I65" s="13">
        <f>VLOOKUP(B65,'[1]Matriz Precios A'!$B$3:$BP$301,8,FALSE)</f>
        <v>0</v>
      </c>
      <c r="J65" s="11">
        <f t="shared" si="1"/>
        <v>0</v>
      </c>
      <c r="K65" s="13">
        <f t="shared" si="2"/>
        <v>0</v>
      </c>
      <c r="L65" s="11">
        <f t="shared" si="3"/>
        <v>61.19</v>
      </c>
      <c r="M65" s="14">
        <f>$H$196</f>
        <v>16800</v>
      </c>
      <c r="N65" s="14">
        <f t="shared" si="4"/>
        <v>1028000</v>
      </c>
      <c r="O65" s="14">
        <f t="shared" si="5"/>
        <v>144700</v>
      </c>
      <c r="P65" s="15">
        <v>88400</v>
      </c>
      <c r="Q65" s="16">
        <f>VLOOKUP(B65,[2]Sheet1!$C$2:$D$299,2,FALSE)</f>
        <v>88400</v>
      </c>
      <c r="R65" s="17">
        <v>84565</v>
      </c>
      <c r="S65" s="18">
        <f t="shared" si="6"/>
        <v>-3835</v>
      </c>
      <c r="T65" s="19">
        <f t="shared" si="7"/>
        <v>-3835</v>
      </c>
      <c r="U65" s="20" t="str">
        <f t="shared" si="8"/>
        <v>ATRASADO</v>
      </c>
      <c r="V65" s="21">
        <f>VLOOKUP(B65,'[3]Deal List'!$F$4:$Q$302,8,FALSE)</f>
        <v>2</v>
      </c>
      <c r="W65" s="22" t="str">
        <f>VLOOKUP(B65,'[3]Deal List'!$F$4:$Q$302,9,FALSE)</f>
        <v>DENEGADA</v>
      </c>
      <c r="X65" s="23" t="str">
        <f>VLOOKUP(B65,'[3]Deal List'!$F$4:$Q$302,12,FALSE)</f>
        <v>Clientes poseen un RCI del 68% (Enma Lopez crédito fiduciario por Q96 mil y TCs por Q119 mil, Joselin Tercero TCs por Q48.8 mil)</v>
      </c>
    </row>
    <row r="66" spans="1:24" x14ac:dyDescent="0.3">
      <c r="A66" s="45" t="s">
        <v>75</v>
      </c>
      <c r="B66" s="46">
        <v>1316</v>
      </c>
      <c r="C66" s="9" t="str">
        <f>VLOOKUP(B66,'[1]Matriz Precios A'!$B$3:$BN$301,2,FALSE)</f>
        <v>B3</v>
      </c>
      <c r="D66" s="10">
        <f>VLOOKUP(B66,'[1]Matriz Precios A'!$B$3:$BN$301,34,FALSE)</f>
        <v>879281.06</v>
      </c>
      <c r="E66" s="11">
        <f>VLOOKUP(B66,'[1]Matriz Precios A'!$B$3:$BN$301,3,FALSE)</f>
        <v>48.96</v>
      </c>
      <c r="F66" s="11">
        <v>0</v>
      </c>
      <c r="G66" s="12">
        <f>VLOOKUP(B66,'[1]Matriz Precios A'!$B$3:$BP$301,7,FALSE)</f>
        <v>1</v>
      </c>
      <c r="H66" s="13">
        <f t="shared" ref="H66:H129" si="9">IF(G66=1,12.5,0)</f>
        <v>12.5</v>
      </c>
      <c r="I66" s="13">
        <f>VLOOKUP(B66,'[1]Matriz Precios A'!$B$3:$BP$301,8,FALSE)</f>
        <v>0</v>
      </c>
      <c r="J66" s="11">
        <f t="shared" ref="J66:J129" si="10">IF(I66=1,25,0)</f>
        <v>0</v>
      </c>
      <c r="K66" s="13">
        <f t="shared" ref="K66:K129" si="11">IF(J66=25,5.3,0)</f>
        <v>0</v>
      </c>
      <c r="L66" s="11">
        <f t="shared" ref="L66:L129" si="12">E66+H66+J66+K66+F66</f>
        <v>61.46</v>
      </c>
      <c r="M66" s="14">
        <f>$H$196</f>
        <v>16800</v>
      </c>
      <c r="N66" s="14">
        <f t="shared" ref="N66:N129" si="13">ROUNDUP(M66*L66,-2)</f>
        <v>1032600</v>
      </c>
      <c r="O66" s="14">
        <f t="shared" ref="O66:O129" si="14">N66-D66</f>
        <v>153318.93999999994</v>
      </c>
      <c r="P66" s="15">
        <v>87981.06</v>
      </c>
      <c r="Q66" s="16">
        <f>VLOOKUP(B66,[2]Sheet1!$C$2:$D$299,2,FALSE)</f>
        <v>87981.06</v>
      </c>
      <c r="R66" s="17">
        <v>84356</v>
      </c>
      <c r="S66" s="18">
        <f t="shared" ref="S66:S129" si="15">R66-Q66</f>
        <v>-3625.0599999999977</v>
      </c>
      <c r="T66" s="19">
        <f t="shared" ref="T66:T129" si="16">+R66-P66</f>
        <v>-3625.0599999999977</v>
      </c>
      <c r="U66" s="20" t="str">
        <f t="shared" si="8"/>
        <v>ATRASADO</v>
      </c>
      <c r="V66" s="21">
        <f>VLOOKUP(B66,'[3]Deal List'!$F$4:$Q$302,8,FALSE)</f>
        <v>2</v>
      </c>
      <c r="W66" s="22" t="str">
        <f>VLOOKUP(B66,'[3]Deal List'!$F$4:$Q$302,9,FALSE)</f>
        <v>APROBADA</v>
      </c>
      <c r="X66" s="23">
        <f>VLOOKUP(B66,'[3]Deal List'!$F$4:$Q$302,12,FALSE)</f>
        <v>0</v>
      </c>
    </row>
    <row r="67" spans="1:24" x14ac:dyDescent="0.3">
      <c r="A67" s="9" t="s">
        <v>76</v>
      </c>
      <c r="B67" s="28">
        <v>1406</v>
      </c>
      <c r="C67" s="9" t="str">
        <f>VLOOKUP(B67,'[1]Matriz Precios A'!$B$3:$BN$301,2,FALSE)</f>
        <v>A2</v>
      </c>
      <c r="D67" s="10">
        <f>VLOOKUP(B67,'[1]Matriz Precios A'!$B$3:$BN$301,34,FALSE)</f>
        <v>651600</v>
      </c>
      <c r="E67" s="11">
        <f>VLOOKUP(B67,'[1]Matriz Precios A'!$B$3:$BN$301,3,FALSE)</f>
        <v>34.9</v>
      </c>
      <c r="F67" s="11">
        <v>0</v>
      </c>
      <c r="G67" s="12">
        <f>VLOOKUP(B67,'[1]Matriz Precios A'!$B$3:$BP$301,7,FALSE)</f>
        <v>1</v>
      </c>
      <c r="H67" s="13">
        <f t="shared" si="9"/>
        <v>12.5</v>
      </c>
      <c r="I67" s="13">
        <f>VLOOKUP(B67,'[1]Matriz Precios A'!$B$3:$BP$301,8,FALSE)</f>
        <v>0</v>
      </c>
      <c r="J67" s="11">
        <f t="shared" si="10"/>
        <v>0</v>
      </c>
      <c r="K67" s="13">
        <f t="shared" si="11"/>
        <v>0</v>
      </c>
      <c r="L67" s="11">
        <f t="shared" si="12"/>
        <v>47.4</v>
      </c>
      <c r="M67" s="14">
        <f>$H$195</f>
        <v>18865.9793814433</v>
      </c>
      <c r="N67" s="14">
        <f t="shared" si="13"/>
        <v>894300</v>
      </c>
      <c r="O67" s="14">
        <f t="shared" si="14"/>
        <v>242700</v>
      </c>
      <c r="P67" s="16">
        <v>65200</v>
      </c>
      <c r="Q67" s="16">
        <f>VLOOKUP(B67,[2]Sheet1!$C$2:$D$299,2,FALSE)</f>
        <v>65200</v>
      </c>
      <c r="R67" s="17">
        <v>61770</v>
      </c>
      <c r="S67" s="18">
        <f t="shared" si="15"/>
        <v>-3430</v>
      </c>
      <c r="T67" s="19">
        <f t="shared" si="16"/>
        <v>-3430</v>
      </c>
      <c r="U67" s="20" t="str">
        <f t="shared" ref="U67:U130" si="17">IF(S67&lt;0,"ATRASADO", "AL DÍA")</f>
        <v>ATRASADO</v>
      </c>
      <c r="V67" s="21">
        <f>VLOOKUP(B67,'[3]Deal List'!$F$4:$Q$302,8,FALSE)</f>
        <v>1</v>
      </c>
      <c r="W67" s="22" t="str">
        <f>VLOOKUP(B67,'[3]Deal List'!$F$4:$Q$302,9,FALSE)</f>
        <v>APROBADA</v>
      </c>
      <c r="X67" s="23">
        <f>VLOOKUP(B67,'[3]Deal List'!$F$4:$Q$302,12,FALSE)</f>
        <v>0</v>
      </c>
    </row>
    <row r="68" spans="1:24" x14ac:dyDescent="0.3">
      <c r="A68" s="27" t="s">
        <v>77</v>
      </c>
      <c r="B68" s="27">
        <v>707</v>
      </c>
      <c r="C68" s="9" t="str">
        <f>VLOOKUP(B68,'[1]Matriz Precios A'!$B$3:$BN$301,2,FALSE)</f>
        <v>A12</v>
      </c>
      <c r="D68" s="10">
        <f>VLOOKUP(B68,'[1]Matriz Precios A'!$B$3:$BN$301,34,FALSE)</f>
        <v>789045</v>
      </c>
      <c r="E68" s="11">
        <f>VLOOKUP(B68,'[1]Matriz Precios A'!$B$3:$BN$301,3,FALSE)</f>
        <v>37.17</v>
      </c>
      <c r="F68" s="11">
        <v>0</v>
      </c>
      <c r="G68" s="12">
        <f>VLOOKUP(B68,'[1]Matriz Precios A'!$B$3:$BP$301,7,FALSE)</f>
        <v>1</v>
      </c>
      <c r="H68" s="13">
        <f t="shared" si="9"/>
        <v>12.5</v>
      </c>
      <c r="I68" s="13">
        <f>VLOOKUP(B68,'[1]Matriz Precios A'!$B$3:$BP$301,8,FALSE)</f>
        <v>0</v>
      </c>
      <c r="J68" s="11">
        <f t="shared" si="10"/>
        <v>0</v>
      </c>
      <c r="K68" s="13">
        <f t="shared" si="11"/>
        <v>0</v>
      </c>
      <c r="L68" s="11">
        <f t="shared" si="12"/>
        <v>49.67</v>
      </c>
      <c r="M68" s="30">
        <f>$H$195</f>
        <v>18865.9793814433</v>
      </c>
      <c r="N68" s="14">
        <f t="shared" si="13"/>
        <v>937100</v>
      </c>
      <c r="O68" s="14">
        <f t="shared" si="14"/>
        <v>148055</v>
      </c>
      <c r="P68" s="15">
        <v>78945</v>
      </c>
      <c r="Q68" s="16">
        <f>VLOOKUP(B68,[2]Sheet1!$C$2:$D$299,2,FALSE)</f>
        <v>63030</v>
      </c>
      <c r="R68" s="17">
        <v>60000</v>
      </c>
      <c r="S68" s="18">
        <f t="shared" si="15"/>
        <v>-3030</v>
      </c>
      <c r="T68" s="19">
        <f t="shared" si="16"/>
        <v>-18945</v>
      </c>
      <c r="U68" s="20" t="str">
        <f t="shared" si="17"/>
        <v>ATRASADO</v>
      </c>
      <c r="V68" s="21">
        <f>VLOOKUP(B68,'[3]Deal List'!$F$4:$Q$302,8,FALSE)</f>
        <v>2</v>
      </c>
      <c r="W68" s="22" t="str">
        <f>VLOOKUP(B68,'[3]Deal List'!$F$4:$Q$302,9,FALSE)</f>
        <v>APROBADA</v>
      </c>
      <c r="X68" s="23">
        <f>VLOOKUP(B68,'[3]Deal List'!$F$4:$Q$302,12,FALSE)</f>
        <v>0</v>
      </c>
    </row>
    <row r="69" spans="1:24" x14ac:dyDescent="0.3">
      <c r="A69" s="29" t="s">
        <v>78</v>
      </c>
      <c r="B69" s="29">
        <v>805</v>
      </c>
      <c r="C69" s="9" t="str">
        <f>VLOOKUP(B69,'[1]Matriz Precios A'!$B$3:$BN$301,2,FALSE)</f>
        <v>B5</v>
      </c>
      <c r="D69" s="10">
        <f>VLOOKUP(B69,'[1]Matriz Precios A'!$B$3:$BN$301,34,FALSE)</f>
        <v>941800</v>
      </c>
      <c r="E69" s="11">
        <f>VLOOKUP(B69,'[1]Matriz Precios A'!$B$3:$BN$301,3,FALSE)</f>
        <v>52.51</v>
      </c>
      <c r="F69" s="11">
        <v>0</v>
      </c>
      <c r="G69" s="12">
        <f>VLOOKUP(B69,'[1]Matriz Precios A'!$B$3:$BP$301,7,FALSE)</f>
        <v>1</v>
      </c>
      <c r="H69" s="13">
        <f t="shared" si="9"/>
        <v>12.5</v>
      </c>
      <c r="I69" s="13">
        <f>VLOOKUP(B69,'[1]Matriz Precios A'!$B$3:$BP$301,8,FALSE)</f>
        <v>0</v>
      </c>
      <c r="J69" s="11">
        <f t="shared" si="10"/>
        <v>0</v>
      </c>
      <c r="K69" s="13">
        <f t="shared" si="11"/>
        <v>0</v>
      </c>
      <c r="L69" s="11">
        <f t="shared" si="12"/>
        <v>65.009999999999991</v>
      </c>
      <c r="M69" s="14">
        <f>$H$196</f>
        <v>16800</v>
      </c>
      <c r="N69" s="14">
        <f t="shared" si="13"/>
        <v>1092200</v>
      </c>
      <c r="O69" s="14">
        <f t="shared" si="14"/>
        <v>150400</v>
      </c>
      <c r="P69" s="15">
        <v>94200</v>
      </c>
      <c r="Q69" s="16">
        <f>VLOOKUP(B69,[2]Sheet1!$C$2:$D$299,2,FALSE)</f>
        <v>94200</v>
      </c>
      <c r="R69" s="17">
        <v>91650.05</v>
      </c>
      <c r="S69" s="18">
        <f t="shared" si="15"/>
        <v>-2549.9499999999971</v>
      </c>
      <c r="T69" s="19">
        <f t="shared" si="16"/>
        <v>-2549.9499999999971</v>
      </c>
      <c r="U69" s="20" t="str">
        <f t="shared" si="17"/>
        <v>ATRASADO</v>
      </c>
      <c r="V69" s="21">
        <f>VLOOKUP(B69,'[3]Deal List'!$F$4:$Q$302,8,FALSE)</f>
        <v>2</v>
      </c>
      <c r="W69" s="22" t="str">
        <f>VLOOKUP(B69,'[3]Deal List'!$F$4:$Q$302,9,FALSE)</f>
        <v>APROBADA</v>
      </c>
      <c r="X69" s="23">
        <f>VLOOKUP(B69,'[3]Deal List'!$F$4:$Q$302,12,FALSE)</f>
        <v>0</v>
      </c>
    </row>
    <row r="70" spans="1:24" x14ac:dyDescent="0.3">
      <c r="A70" s="9" t="s">
        <v>79</v>
      </c>
      <c r="B70" s="9">
        <v>803</v>
      </c>
      <c r="C70" s="9" t="str">
        <f>VLOOKUP(B70,'[1]Matriz Precios A'!$B$3:$BN$301,2,FALSE)</f>
        <v>A8</v>
      </c>
      <c r="D70" s="10">
        <f>VLOOKUP(B70,'[1]Matriz Precios A'!$B$3:$BN$301,34,FALSE)</f>
        <v>660700</v>
      </c>
      <c r="E70" s="11">
        <f>VLOOKUP(B70,'[1]Matriz Precios A'!$B$3:$BN$301,3,FALSE)</f>
        <v>35.94</v>
      </c>
      <c r="F70" s="11">
        <v>0</v>
      </c>
      <c r="G70" s="12">
        <f>VLOOKUP(B70,'[1]Matriz Precios A'!$B$3:$BP$301,7,FALSE)</f>
        <v>1</v>
      </c>
      <c r="H70" s="13">
        <f t="shared" si="9"/>
        <v>12.5</v>
      </c>
      <c r="I70" s="13">
        <f>VLOOKUP(B70,'[1]Matriz Precios A'!$B$3:$BP$301,8,FALSE)</f>
        <v>0</v>
      </c>
      <c r="J70" s="11">
        <f t="shared" si="10"/>
        <v>0</v>
      </c>
      <c r="K70" s="13">
        <f t="shared" si="11"/>
        <v>0</v>
      </c>
      <c r="L70" s="11">
        <f t="shared" si="12"/>
        <v>48.44</v>
      </c>
      <c r="M70" s="14">
        <f>$H$195</f>
        <v>18865.9793814433</v>
      </c>
      <c r="N70" s="14">
        <f t="shared" si="13"/>
        <v>913900</v>
      </c>
      <c r="O70" s="14">
        <f t="shared" si="14"/>
        <v>253200</v>
      </c>
      <c r="P70" s="16">
        <v>66100</v>
      </c>
      <c r="Q70" s="16">
        <f>VLOOKUP(B70,[2]Sheet1!$C$2:$D$299,2,FALSE)</f>
        <v>66100</v>
      </c>
      <c r="R70" s="17">
        <v>63875</v>
      </c>
      <c r="S70" s="18">
        <f t="shared" si="15"/>
        <v>-2225</v>
      </c>
      <c r="T70" s="19">
        <f t="shared" si="16"/>
        <v>-2225</v>
      </c>
      <c r="U70" s="20" t="str">
        <f t="shared" si="17"/>
        <v>ATRASADO</v>
      </c>
      <c r="V70" s="21">
        <f>VLOOKUP(B70,'[3]Deal List'!$F$4:$Q$302,8,FALSE)</f>
        <v>1</v>
      </c>
      <c r="W70" s="22" t="str">
        <f>VLOOKUP(B70,'[3]Deal List'!$F$4:$Q$302,9,FALSE)</f>
        <v>DENEGADA</v>
      </c>
      <c r="X70" s="23" t="str">
        <f>VLOOKUP(B70,'[3]Deal List'!$F$4:$Q$302,12,FALSE)</f>
        <v>Cliente posee un RCI del 75% (Hipotecario por Q664 mil, prendario por Q140 mil y TC´s por Q311 mil) Adicionar otro deudor o cancelar deudas</v>
      </c>
    </row>
    <row r="71" spans="1:24" x14ac:dyDescent="0.3">
      <c r="A71" s="9" t="s">
        <v>80</v>
      </c>
      <c r="B71" s="9">
        <v>112</v>
      </c>
      <c r="C71" s="9" t="str">
        <f>VLOOKUP(B71,'[1]Matriz Precios A'!$B$3:$BN$301,2,FALSE)</f>
        <v>A3.1</v>
      </c>
      <c r="D71" s="10">
        <f>VLOOKUP(B71,'[1]Matriz Precios A'!$B$3:$BN$301,34,FALSE)</f>
        <v>698900</v>
      </c>
      <c r="E71" s="11">
        <f>VLOOKUP(B71,'[1]Matriz Precios A'!$B$3:$BN$301,3,FALSE)</f>
        <v>34.46</v>
      </c>
      <c r="F71" s="11">
        <f>VLOOKUP(B71,'[1]Matriz Precios A'!$B$3:$BN$301,6,FALSE)</f>
        <v>9.1300000000000008</v>
      </c>
      <c r="G71" s="12">
        <f>VLOOKUP(B71,'[1]Matriz Precios A'!$B$3:$BP$301,7,FALSE)</f>
        <v>1</v>
      </c>
      <c r="H71" s="13">
        <f t="shared" si="9"/>
        <v>12.5</v>
      </c>
      <c r="I71" s="13">
        <f>VLOOKUP(B71,'[1]Matriz Precios A'!$B$3:$BP$301,8,FALSE)</f>
        <v>0</v>
      </c>
      <c r="J71" s="11">
        <f t="shared" si="10"/>
        <v>0</v>
      </c>
      <c r="K71" s="13">
        <f t="shared" si="11"/>
        <v>0</v>
      </c>
      <c r="L71" s="11">
        <f t="shared" si="12"/>
        <v>56.09</v>
      </c>
      <c r="M71" s="14">
        <f>$H$195</f>
        <v>18865.9793814433</v>
      </c>
      <c r="N71" s="14">
        <f t="shared" si="13"/>
        <v>1058200</v>
      </c>
      <c r="O71" s="14">
        <f t="shared" si="14"/>
        <v>359300</v>
      </c>
      <c r="P71" s="16">
        <v>69900</v>
      </c>
      <c r="Q71" s="16">
        <f>VLOOKUP(B71,[2]Sheet1!$C$2:$D$299,2,FALSE)</f>
        <v>69900</v>
      </c>
      <c r="R71" s="17">
        <v>68084</v>
      </c>
      <c r="S71" s="18">
        <f t="shared" si="15"/>
        <v>-1816</v>
      </c>
      <c r="T71" s="19">
        <f t="shared" si="16"/>
        <v>-1816</v>
      </c>
      <c r="U71" s="20" t="str">
        <f t="shared" si="17"/>
        <v>ATRASADO</v>
      </c>
      <c r="V71" s="21">
        <f>VLOOKUP(B71,'[3]Deal List'!$F$4:$Q$302,8,FALSE)</f>
        <v>1</v>
      </c>
      <c r="W71" s="22" t="str">
        <f>VLOOKUP(B71,'[3]Deal List'!$F$4:$Q$302,9,FALSE)</f>
        <v>APROBADA</v>
      </c>
      <c r="X71" s="23">
        <f>VLOOKUP(B71,'[3]Deal List'!$F$4:$Q$302,12,FALSE)</f>
        <v>0</v>
      </c>
    </row>
    <row r="72" spans="1:24" x14ac:dyDescent="0.3">
      <c r="A72" s="9" t="s">
        <v>81</v>
      </c>
      <c r="B72" s="28">
        <v>101</v>
      </c>
      <c r="C72" s="9" t="str">
        <f>VLOOKUP(B72,'[1]Matriz Precios A'!$B$3:$BN$301,2,FALSE)</f>
        <v>A7.1</v>
      </c>
      <c r="D72" s="10">
        <f>VLOOKUP(B72,'[1]Matriz Precios A'!$B$3:$BN$301,34,FALSE)</f>
        <v>644800</v>
      </c>
      <c r="E72" s="11">
        <f>VLOOKUP(B72,'[1]Matriz Precios A'!$B$3:$BN$301,3,FALSE)</f>
        <v>31.299999999999997</v>
      </c>
      <c r="F72" s="11">
        <f>VLOOKUP(B72,'[1]Matriz Precios A'!$B$3:$BN$301,6,FALSE)</f>
        <v>8</v>
      </c>
      <c r="G72" s="12">
        <f>VLOOKUP(B72,'[1]Matriz Precios A'!$B$3:$BP$301,7,FALSE)</f>
        <v>1</v>
      </c>
      <c r="H72" s="13">
        <f t="shared" si="9"/>
        <v>12.5</v>
      </c>
      <c r="I72" s="13">
        <f>VLOOKUP(B72,'[1]Matriz Precios A'!$B$3:$BP$301,8,FALSE)</f>
        <v>0</v>
      </c>
      <c r="J72" s="11">
        <f t="shared" si="10"/>
        <v>0</v>
      </c>
      <c r="K72" s="13">
        <f t="shared" si="11"/>
        <v>0</v>
      </c>
      <c r="L72" s="11">
        <f t="shared" si="12"/>
        <v>51.8</v>
      </c>
      <c r="M72" s="14">
        <f>$H$195</f>
        <v>18865.9793814433</v>
      </c>
      <c r="N72" s="14">
        <f t="shared" si="13"/>
        <v>977300</v>
      </c>
      <c r="O72" s="14">
        <f t="shared" si="14"/>
        <v>332500</v>
      </c>
      <c r="P72" s="16">
        <v>64500</v>
      </c>
      <c r="Q72" s="16">
        <f>VLOOKUP(B72,[2]Sheet1!$C$2:$D$299,2,FALSE)</f>
        <v>64500</v>
      </c>
      <c r="R72" s="17">
        <v>62810</v>
      </c>
      <c r="S72" s="18">
        <f t="shared" si="15"/>
        <v>-1690</v>
      </c>
      <c r="T72" s="19">
        <f t="shared" si="16"/>
        <v>-1690</v>
      </c>
      <c r="U72" s="20" t="str">
        <f t="shared" si="17"/>
        <v>ATRASADO</v>
      </c>
      <c r="V72" s="21">
        <f>VLOOKUP(B72,'[3]Deal List'!$F$4:$Q$302,8,FALSE)</f>
        <v>1</v>
      </c>
      <c r="W72" s="22" t="str">
        <f>VLOOKUP(B72,'[3]Deal List'!$F$4:$Q$302,9,FALSE)</f>
        <v>APROBADA</v>
      </c>
      <c r="X72" s="23">
        <f>VLOOKUP(B72,'[3]Deal List'!$F$4:$Q$302,12,FALSE)</f>
        <v>0</v>
      </c>
    </row>
    <row r="73" spans="1:24" x14ac:dyDescent="0.3">
      <c r="A73" s="31" t="s">
        <v>82</v>
      </c>
      <c r="B73" s="27">
        <v>213</v>
      </c>
      <c r="C73" s="9" t="str">
        <f>VLOOKUP(B73,'[1]Matriz Precios A'!$B$3:$BN$301,2,FALSE)</f>
        <v>A8</v>
      </c>
      <c r="D73" s="10">
        <f>VLOOKUP(B73,'[1]Matriz Precios A'!$B$3:$BN$301,34,FALSE)</f>
        <v>806418.74335333402</v>
      </c>
      <c r="E73" s="11">
        <f>VLOOKUP(B73,'[1]Matriz Precios A'!$B$3:$BN$301,3,FALSE)</f>
        <v>35.94</v>
      </c>
      <c r="F73" s="11">
        <v>0</v>
      </c>
      <c r="G73" s="12">
        <f>VLOOKUP(B73,'[1]Matriz Precios A'!$B$3:$BP$301,7,FALSE)</f>
        <v>1</v>
      </c>
      <c r="H73" s="13">
        <f t="shared" si="9"/>
        <v>12.5</v>
      </c>
      <c r="I73" s="13">
        <f>VLOOKUP(B73,'[1]Matriz Precios A'!$B$3:$BP$301,8,FALSE)</f>
        <v>0</v>
      </c>
      <c r="J73" s="11">
        <f t="shared" si="10"/>
        <v>0</v>
      </c>
      <c r="K73" s="13">
        <f t="shared" si="11"/>
        <v>0</v>
      </c>
      <c r="L73" s="11">
        <f t="shared" si="12"/>
        <v>48.44</v>
      </c>
      <c r="M73" s="30">
        <f>$H$195</f>
        <v>18865.9793814433</v>
      </c>
      <c r="N73" s="14">
        <f t="shared" si="13"/>
        <v>913900</v>
      </c>
      <c r="O73" s="14">
        <f t="shared" si="14"/>
        <v>107481.25664666598</v>
      </c>
      <c r="P73" s="15">
        <v>80718.740000000005</v>
      </c>
      <c r="Q73" s="16">
        <f>VLOOKUP(B73,[2]Sheet1!$C$2:$D$299,2,FALSE)</f>
        <v>63040</v>
      </c>
      <c r="R73" s="17">
        <v>61539.72</v>
      </c>
      <c r="S73" s="18">
        <f t="shared" si="15"/>
        <v>-1500.2799999999988</v>
      </c>
      <c r="T73" s="19">
        <f t="shared" si="16"/>
        <v>-19179.020000000004</v>
      </c>
      <c r="U73" s="20" t="str">
        <f t="shared" si="17"/>
        <v>ATRASADO</v>
      </c>
      <c r="V73" s="21">
        <f>VLOOKUP(B73,'[3]Deal List'!$F$4:$Q$302,8,FALSE)</f>
        <v>2</v>
      </c>
      <c r="W73" s="22" t="str">
        <f>VLOOKUP(B73,'[3]Deal List'!$F$4:$Q$302,9,FALSE)</f>
        <v>APROBADA</v>
      </c>
      <c r="X73" s="23">
        <f>VLOOKUP(B73,'[3]Deal List'!$F$4:$Q$302,12,FALSE)</f>
        <v>0</v>
      </c>
    </row>
    <row r="74" spans="1:24" x14ac:dyDescent="0.3">
      <c r="A74" s="9" t="s">
        <v>83</v>
      </c>
      <c r="B74" s="9">
        <v>1312</v>
      </c>
      <c r="C74" s="9" t="str">
        <f>VLOOKUP(B74,'[1]Matriz Precios A'!$B$3:$BN$301,2,FALSE)</f>
        <v>A8</v>
      </c>
      <c r="D74" s="10">
        <f>VLOOKUP(B74,'[1]Matriz Precios A'!$B$3:$BN$301,34,FALSE)</f>
        <v>703500</v>
      </c>
      <c r="E74" s="11">
        <f>VLOOKUP(B74,'[1]Matriz Precios A'!$B$3:$BN$301,3,FALSE)</f>
        <v>35.94</v>
      </c>
      <c r="F74" s="11">
        <v>0</v>
      </c>
      <c r="G74" s="12">
        <f>VLOOKUP(B74,'[1]Matriz Precios A'!$B$3:$BP$301,7,FALSE)</f>
        <v>1</v>
      </c>
      <c r="H74" s="13">
        <f t="shared" si="9"/>
        <v>12.5</v>
      </c>
      <c r="I74" s="13">
        <f>VLOOKUP(B74,'[1]Matriz Precios A'!$B$3:$BP$301,8,FALSE)</f>
        <v>0</v>
      </c>
      <c r="J74" s="11">
        <f t="shared" si="10"/>
        <v>0</v>
      </c>
      <c r="K74" s="13">
        <f t="shared" si="11"/>
        <v>0</v>
      </c>
      <c r="L74" s="11">
        <f t="shared" si="12"/>
        <v>48.44</v>
      </c>
      <c r="M74" s="14">
        <f>$H$195</f>
        <v>18865.9793814433</v>
      </c>
      <c r="N74" s="14">
        <f t="shared" si="13"/>
        <v>913900</v>
      </c>
      <c r="O74" s="14">
        <f t="shared" si="14"/>
        <v>210400</v>
      </c>
      <c r="P74" s="16">
        <v>66700</v>
      </c>
      <c r="Q74" s="16">
        <f>VLOOKUP(B74,[2]Sheet1!$C$2:$D$299,2,FALSE)</f>
        <v>66700</v>
      </c>
      <c r="R74" s="17">
        <v>66000</v>
      </c>
      <c r="S74" s="18">
        <f t="shared" si="15"/>
        <v>-700</v>
      </c>
      <c r="T74" s="19">
        <f t="shared" si="16"/>
        <v>-700</v>
      </c>
      <c r="U74" s="20" t="str">
        <f t="shared" si="17"/>
        <v>ATRASADO</v>
      </c>
      <c r="V74" s="21">
        <f>VLOOKUP(B74,'[3]Deal List'!$F$4:$Q$302,8,FALSE)</f>
        <v>1</v>
      </c>
      <c r="W74" s="22" t="str">
        <f>VLOOKUP(B74,'[3]Deal List'!$F$4:$Q$302,9,FALSE)</f>
        <v>APROBADA</v>
      </c>
      <c r="X74" s="23">
        <f>VLOOKUP(B74,'[3]Deal List'!$F$4:$Q$302,12,FALSE)</f>
        <v>0</v>
      </c>
    </row>
    <row r="75" spans="1:24" x14ac:dyDescent="0.3">
      <c r="A75" s="9" t="s">
        <v>28</v>
      </c>
      <c r="B75" s="28">
        <v>1507</v>
      </c>
      <c r="C75" s="9" t="str">
        <f>VLOOKUP(B75,'[1]Matriz Precios A'!$B$3:$BN$301,2,FALSE)</f>
        <v>C9</v>
      </c>
      <c r="D75" s="10">
        <f>VLOOKUP(B75,'[1]Matriz Precios A'!$B$3:$BN$301,34,FALSE)</f>
        <v>1141461.0333799999</v>
      </c>
      <c r="E75" s="11">
        <f>VLOOKUP(B75,'[1]Matriz Precios A'!$B$3:$BN$301,3,FALSE)</f>
        <v>57.85</v>
      </c>
      <c r="F75" s="11">
        <v>0</v>
      </c>
      <c r="G75" s="12">
        <f>VLOOKUP(B75,'[1]Matriz Precios A'!$B$3:$BP$301,7,FALSE)</f>
        <v>0</v>
      </c>
      <c r="H75" s="13">
        <f t="shared" si="9"/>
        <v>0</v>
      </c>
      <c r="I75" s="13">
        <f>VLOOKUP(B75,'[1]Matriz Precios A'!$B$3:$BP$301,8,FALSE)</f>
        <v>1</v>
      </c>
      <c r="J75" s="11">
        <f t="shared" si="10"/>
        <v>25</v>
      </c>
      <c r="K75" s="13">
        <f t="shared" si="11"/>
        <v>5.3</v>
      </c>
      <c r="L75" s="11">
        <f t="shared" si="12"/>
        <v>88.149999999999991</v>
      </c>
      <c r="M75" s="14">
        <f>$H$199</f>
        <v>15826.494724501759</v>
      </c>
      <c r="N75" s="14">
        <f t="shared" si="13"/>
        <v>1395200</v>
      </c>
      <c r="O75" s="14">
        <f t="shared" si="14"/>
        <v>253738.96662000008</v>
      </c>
      <c r="P75" s="16">
        <v>114161</v>
      </c>
      <c r="Q75" s="16">
        <f>VLOOKUP(B75,[2]Sheet1!$C$2:$D$299,2,FALSE)</f>
        <v>114161</v>
      </c>
      <c r="R75" s="17">
        <v>113625</v>
      </c>
      <c r="S75" s="18">
        <f t="shared" si="15"/>
        <v>-536</v>
      </c>
      <c r="T75" s="19">
        <f t="shared" si="16"/>
        <v>-536</v>
      </c>
      <c r="U75" s="20" t="str">
        <f t="shared" si="17"/>
        <v>ATRASADO</v>
      </c>
      <c r="V75" s="21">
        <f>VLOOKUP(B75,'[3]Deal List'!$F$4:$Q$302,8,FALSE)</f>
        <v>1</v>
      </c>
      <c r="W75" s="22" t="str">
        <f>VLOOKUP(B75,'[3]Deal List'!$F$4:$Q$302,9,FALSE)</f>
        <v>N/A</v>
      </c>
      <c r="X75" s="23">
        <f>VLOOKUP(B75,'[3]Deal List'!$F$4:$Q$302,12,FALSE)</f>
        <v>0</v>
      </c>
    </row>
    <row r="76" spans="1:24" x14ac:dyDescent="0.3">
      <c r="A76" s="9" t="s">
        <v>84</v>
      </c>
      <c r="B76" s="28">
        <v>1310</v>
      </c>
      <c r="C76" s="9" t="str">
        <f>VLOOKUP(B76,'[1]Matriz Precios A'!$B$3:$BN$301,2,FALSE)</f>
        <v>C6</v>
      </c>
      <c r="D76" s="10">
        <f>VLOOKUP(B76,'[1]Matriz Precios A'!$B$3:$BN$301,34,FALSE)</f>
        <v>1166200</v>
      </c>
      <c r="E76" s="11">
        <f>VLOOKUP(B76,'[1]Matriz Precios A'!$B$3:$BN$301,3,FALSE)</f>
        <v>55</v>
      </c>
      <c r="F76" s="11">
        <v>0</v>
      </c>
      <c r="G76" s="12">
        <f>VLOOKUP(B76,'[1]Matriz Precios A'!$B$3:$BP$301,7,FALSE)</f>
        <v>0</v>
      </c>
      <c r="H76" s="13">
        <f t="shared" si="9"/>
        <v>0</v>
      </c>
      <c r="I76" s="13">
        <f>VLOOKUP(B76,'[1]Matriz Precios A'!$B$3:$BP$301,8,FALSE)</f>
        <v>1</v>
      </c>
      <c r="J76" s="11">
        <f t="shared" si="10"/>
        <v>25</v>
      </c>
      <c r="K76" s="13">
        <f t="shared" si="11"/>
        <v>5.3</v>
      </c>
      <c r="L76" s="11">
        <f t="shared" si="12"/>
        <v>85.3</v>
      </c>
      <c r="M76" s="14">
        <f>$H$199</f>
        <v>15826.494724501759</v>
      </c>
      <c r="N76" s="14">
        <f t="shared" si="13"/>
        <v>1350000</v>
      </c>
      <c r="O76" s="14">
        <f t="shared" si="14"/>
        <v>183800</v>
      </c>
      <c r="P76" s="16">
        <v>111100</v>
      </c>
      <c r="Q76" s="16">
        <f>VLOOKUP(B76,[2]Sheet1!$C$2:$D$299,2,FALSE)</f>
        <v>111100</v>
      </c>
      <c r="R76" s="17">
        <v>111000</v>
      </c>
      <c r="S76" s="18">
        <f t="shared" si="15"/>
        <v>-100</v>
      </c>
      <c r="T76" s="19">
        <f t="shared" si="16"/>
        <v>-100</v>
      </c>
      <c r="U76" s="20" t="str">
        <f t="shared" si="17"/>
        <v>ATRASADO</v>
      </c>
      <c r="V76" s="21">
        <f>VLOOKUP(B76,'[3]Deal List'!$F$4:$Q$302,8,FALSE)</f>
        <v>1</v>
      </c>
      <c r="W76" s="22" t="str">
        <f>VLOOKUP(B76,'[3]Deal List'!$F$4:$Q$302,9,FALSE)</f>
        <v>APROBADA</v>
      </c>
      <c r="X76" s="23">
        <f>VLOOKUP(B76,'[3]Deal List'!$F$4:$Q$302,12,FALSE)</f>
        <v>0</v>
      </c>
    </row>
    <row r="77" spans="1:24" x14ac:dyDescent="0.3">
      <c r="A77" s="29" t="s">
        <v>85</v>
      </c>
      <c r="B77" s="29">
        <v>1111</v>
      </c>
      <c r="C77" s="9" t="str">
        <f>VLOOKUP(B77,'[1]Matriz Precios A'!$B$3:$BN$301,2,FALSE)</f>
        <v>C5</v>
      </c>
      <c r="D77" s="10">
        <f>VLOOKUP(B77,'[1]Matriz Precios A'!$B$3:$BN$301,34,FALSE)</f>
        <v>1193202.5</v>
      </c>
      <c r="E77" s="11">
        <f>VLOOKUP(B77,'[1]Matriz Precios A'!$B$3:$BN$301,3,FALSE)</f>
        <v>54.86</v>
      </c>
      <c r="F77" s="11">
        <v>0</v>
      </c>
      <c r="G77" s="12">
        <f>VLOOKUP(B77,'[1]Matriz Precios A'!$B$3:$BP$301,7,FALSE)</f>
        <v>0</v>
      </c>
      <c r="H77" s="13">
        <f t="shared" si="9"/>
        <v>0</v>
      </c>
      <c r="I77" s="13">
        <f>VLOOKUP(B77,'[1]Matriz Precios A'!$B$3:$BP$301,8,FALSE)</f>
        <v>1</v>
      </c>
      <c r="J77" s="11">
        <f t="shared" si="10"/>
        <v>25</v>
      </c>
      <c r="K77" s="13">
        <f t="shared" si="11"/>
        <v>5.3</v>
      </c>
      <c r="L77" s="11">
        <f t="shared" si="12"/>
        <v>85.16</v>
      </c>
      <c r="M77" s="14">
        <f>$H$199</f>
        <v>15826.494724501759</v>
      </c>
      <c r="N77" s="14">
        <f t="shared" si="13"/>
        <v>1347800</v>
      </c>
      <c r="O77" s="14">
        <f t="shared" si="14"/>
        <v>154597.5</v>
      </c>
      <c r="P77" s="15">
        <v>119402.5</v>
      </c>
      <c r="Q77" s="16">
        <f>VLOOKUP(B77,[2]Sheet1!$C$2:$D$299,2,FALSE)</f>
        <v>119402.5</v>
      </c>
      <c r="R77" s="17">
        <v>119321</v>
      </c>
      <c r="S77" s="18">
        <f t="shared" si="15"/>
        <v>-81.5</v>
      </c>
      <c r="T77" s="19">
        <f t="shared" si="16"/>
        <v>-81.5</v>
      </c>
      <c r="U77" s="20" t="str">
        <f t="shared" si="17"/>
        <v>ATRASADO</v>
      </c>
      <c r="V77" s="21">
        <f>VLOOKUP(B77,'[3]Deal List'!$F$4:$Q$302,8,FALSE)</f>
        <v>2</v>
      </c>
      <c r="W77" s="22" t="str">
        <f>VLOOKUP(B77,'[3]Deal List'!$F$4:$Q$302,9,FALSE)</f>
        <v>APROBADA</v>
      </c>
      <c r="X77" s="23">
        <f>VLOOKUP(B77,'[3]Deal List'!$F$4:$Q$302,12,FALSE)</f>
        <v>0</v>
      </c>
    </row>
    <row r="78" spans="1:24" x14ac:dyDescent="0.3">
      <c r="A78" s="8" t="s">
        <v>86</v>
      </c>
      <c r="B78" s="27">
        <v>410</v>
      </c>
      <c r="C78" s="9" t="str">
        <f>VLOOKUP(B78,'[1]Matriz Precios A'!$B$3:$BN$301,2,FALSE)</f>
        <v>A9</v>
      </c>
      <c r="D78" s="10">
        <f>VLOOKUP(B78,'[1]Matriz Precios A'!$B$3:$BN$301,34,FALSE)</f>
        <v>1021234.48252095</v>
      </c>
      <c r="E78" s="11">
        <f>VLOOKUP(B78,'[1]Matriz Precios A'!$B$3:$BN$301,3,FALSE)</f>
        <v>48.09</v>
      </c>
      <c r="F78" s="11">
        <v>0</v>
      </c>
      <c r="G78" s="12">
        <f>VLOOKUP(B78,'[1]Matriz Precios A'!$B$3:$BP$301,7,FALSE)</f>
        <v>1</v>
      </c>
      <c r="H78" s="13">
        <f t="shared" si="9"/>
        <v>12.5</v>
      </c>
      <c r="I78" s="13">
        <f>VLOOKUP(B78,'[1]Matriz Precios A'!$B$3:$BP$301,8,FALSE)</f>
        <v>0</v>
      </c>
      <c r="J78" s="11">
        <f t="shared" si="10"/>
        <v>0</v>
      </c>
      <c r="K78" s="13">
        <f t="shared" si="11"/>
        <v>0</v>
      </c>
      <c r="L78" s="11">
        <f t="shared" si="12"/>
        <v>60.59</v>
      </c>
      <c r="M78" s="30">
        <f>$H$195</f>
        <v>18865.9793814433</v>
      </c>
      <c r="N78" s="14">
        <f t="shared" si="13"/>
        <v>1143100</v>
      </c>
      <c r="O78" s="14">
        <f t="shared" si="14"/>
        <v>121865.51747904997</v>
      </c>
      <c r="P78" s="15">
        <v>119544.43</v>
      </c>
      <c r="Q78" s="16">
        <f>VLOOKUP(B78,[2]Sheet1!$C$2:$D$299,2,FALSE)</f>
        <v>81528.28</v>
      </c>
      <c r="R78" s="17">
        <v>81490.060000000012</v>
      </c>
      <c r="S78" s="18">
        <f t="shared" si="15"/>
        <v>-38.219999999986612</v>
      </c>
      <c r="T78" s="19">
        <f t="shared" si="16"/>
        <v>-38054.369999999981</v>
      </c>
      <c r="U78" s="20" t="str">
        <f t="shared" si="17"/>
        <v>ATRASADO</v>
      </c>
      <c r="V78" s="21">
        <f>VLOOKUP(B78,'[3]Deal List'!$F$4:$Q$302,8,FALSE)</f>
        <v>3</v>
      </c>
      <c r="W78" s="22" t="str">
        <f>VLOOKUP(B78,'[3]Deal List'!$F$4:$Q$302,9,FALSE)</f>
        <v>APROBADA</v>
      </c>
      <c r="X78" s="23">
        <f>VLOOKUP(B78,'[3]Deal List'!$F$4:$Q$302,12,FALSE)</f>
        <v>0</v>
      </c>
    </row>
    <row r="79" spans="1:24" x14ac:dyDescent="0.3">
      <c r="A79" s="27" t="s">
        <v>87</v>
      </c>
      <c r="B79" s="27">
        <v>812</v>
      </c>
      <c r="C79" s="9" t="str">
        <f>VLOOKUP(B79,'[1]Matriz Precios A'!$B$3:$BN$301,2,FALSE)</f>
        <v>B2</v>
      </c>
      <c r="D79" s="10">
        <f>VLOOKUP(B79,'[1]Matriz Precios A'!$B$3:$BN$301,34,FALSE)</f>
        <v>941467.1</v>
      </c>
      <c r="E79" s="11">
        <f>VLOOKUP(B79,'[1]Matriz Precios A'!$B$3:$BN$301,3,FALSE)</f>
        <v>52.63</v>
      </c>
      <c r="F79" s="11">
        <v>0</v>
      </c>
      <c r="G79" s="12">
        <f>VLOOKUP(B79,'[1]Matriz Precios A'!$B$3:$BP$301,7,FALSE)</f>
        <v>1</v>
      </c>
      <c r="H79" s="13">
        <f t="shared" si="9"/>
        <v>12.5</v>
      </c>
      <c r="I79" s="13">
        <f>VLOOKUP(B79,'[1]Matriz Precios A'!$B$3:$BP$301,8,FALSE)</f>
        <v>0</v>
      </c>
      <c r="J79" s="11">
        <f t="shared" si="10"/>
        <v>0</v>
      </c>
      <c r="K79" s="13">
        <f t="shared" si="11"/>
        <v>0</v>
      </c>
      <c r="L79" s="11">
        <f t="shared" si="12"/>
        <v>65.13</v>
      </c>
      <c r="M79" s="14">
        <f>$H$196</f>
        <v>16800</v>
      </c>
      <c r="N79" s="14">
        <f t="shared" si="13"/>
        <v>1094200</v>
      </c>
      <c r="O79" s="14">
        <f t="shared" si="14"/>
        <v>152732.90000000002</v>
      </c>
      <c r="P79" s="15">
        <v>94146.71</v>
      </c>
      <c r="Q79" s="16">
        <f>VLOOKUP(B79,[2]Sheet1!$C$2:$D$299,2,FALSE)</f>
        <v>94167.1</v>
      </c>
      <c r="R79" s="17">
        <v>94146.71</v>
      </c>
      <c r="S79" s="18">
        <f t="shared" si="15"/>
        <v>-20.389999999999418</v>
      </c>
      <c r="T79" s="43">
        <f t="shared" si="16"/>
        <v>0</v>
      </c>
      <c r="U79" s="20" t="str">
        <f t="shared" si="17"/>
        <v>ATRASADO</v>
      </c>
      <c r="V79" s="21">
        <f>VLOOKUP(B79,'[3]Deal List'!$F$4:$Q$302,8,FALSE)</f>
        <v>2</v>
      </c>
      <c r="W79" s="22" t="str">
        <f>VLOOKUP(B79,'[3]Deal List'!$F$4:$Q$302,9,FALSE)</f>
        <v>APROBADA</v>
      </c>
      <c r="X79" s="23">
        <f>VLOOKUP(B79,'[3]Deal List'!$F$4:$Q$302,12,FALSE)</f>
        <v>0</v>
      </c>
    </row>
    <row r="80" spans="1:24" x14ac:dyDescent="0.3">
      <c r="A80" s="44" t="s">
        <v>88</v>
      </c>
      <c r="B80" s="29">
        <v>419</v>
      </c>
      <c r="C80" s="9" t="str">
        <f>VLOOKUP(B80,'[1]Matriz Precios A'!$B$3:$BN$301,2,FALSE)</f>
        <v>C4</v>
      </c>
      <c r="D80" s="10">
        <f>VLOOKUP(B80,'[1]Matriz Precios A'!$B$3:$BN$301,34,FALSE)</f>
        <v>965900</v>
      </c>
      <c r="E80" s="11">
        <f>VLOOKUP(B80,'[1]Matriz Precios A'!$B$3:$BN$301,3,FALSE)</f>
        <v>54.09</v>
      </c>
      <c r="F80" s="11">
        <v>0</v>
      </c>
      <c r="G80" s="12">
        <f>VLOOKUP(B80,'[1]Matriz Precios A'!$B$3:$BP$301,7,FALSE)</f>
        <v>1</v>
      </c>
      <c r="H80" s="13">
        <f t="shared" si="9"/>
        <v>12.5</v>
      </c>
      <c r="I80" s="13">
        <f>VLOOKUP(B80,'[1]Matriz Precios A'!$B$3:$BP$301,8,FALSE)</f>
        <v>0</v>
      </c>
      <c r="J80" s="11">
        <f t="shared" si="10"/>
        <v>0</v>
      </c>
      <c r="K80" s="13">
        <f t="shared" si="11"/>
        <v>0</v>
      </c>
      <c r="L80" s="11">
        <f t="shared" si="12"/>
        <v>66.59</v>
      </c>
      <c r="M80" s="14">
        <f>$H$198</f>
        <v>16888.888888888891</v>
      </c>
      <c r="N80" s="14">
        <f t="shared" si="13"/>
        <v>1124700</v>
      </c>
      <c r="O80" s="14">
        <f t="shared" si="14"/>
        <v>158800</v>
      </c>
      <c r="P80" s="15">
        <v>96600</v>
      </c>
      <c r="Q80" s="16">
        <f>VLOOKUP(B80,[2]Sheet1!$C$2:$D$299,2,FALSE)</f>
        <v>96600</v>
      </c>
      <c r="R80" s="17">
        <v>96594</v>
      </c>
      <c r="S80" s="18">
        <f t="shared" si="15"/>
        <v>-6</v>
      </c>
      <c r="T80" s="19">
        <f t="shared" si="16"/>
        <v>-6</v>
      </c>
      <c r="U80" s="20" t="str">
        <f t="shared" si="17"/>
        <v>ATRASADO</v>
      </c>
      <c r="V80" s="21">
        <f>VLOOKUP(B80,'[3]Deal List'!$F$4:$Q$302,8,FALSE)</f>
        <v>2</v>
      </c>
      <c r="W80" s="22" t="str">
        <f>VLOOKUP(B80,'[3]Deal List'!$F$4:$Q$302,9,FALSE)</f>
        <v>APROBADA</v>
      </c>
      <c r="X80" s="23">
        <f>VLOOKUP(B80,'[3]Deal List'!$F$4:$Q$302,12,FALSE)</f>
        <v>0</v>
      </c>
    </row>
    <row r="81" spans="1:24" x14ac:dyDescent="0.3">
      <c r="A81" s="29" t="s">
        <v>89</v>
      </c>
      <c r="B81" s="29">
        <v>212</v>
      </c>
      <c r="C81" s="9" t="str">
        <f>VLOOKUP(B81,'[1]Matriz Precios A'!$B$3:$BN$301,2,FALSE)</f>
        <v>A4</v>
      </c>
      <c r="D81" s="10">
        <f>VLOOKUP(B81,'[1]Matriz Precios A'!$B$3:$BN$301,34,FALSE)</f>
        <v>714937.5</v>
      </c>
      <c r="E81" s="11">
        <f>VLOOKUP(B81,'[1]Matriz Precios A'!$B$3:$BN$301,3,FALSE)</f>
        <v>35.549999999999997</v>
      </c>
      <c r="F81" s="11">
        <v>0</v>
      </c>
      <c r="G81" s="12">
        <f>VLOOKUP(B81,'[1]Matriz Precios A'!$B$3:$BP$301,7,FALSE)</f>
        <v>1</v>
      </c>
      <c r="H81" s="13">
        <f t="shared" si="9"/>
        <v>12.5</v>
      </c>
      <c r="I81" s="13">
        <f>VLOOKUP(B81,'[1]Matriz Precios A'!$B$3:$BP$301,8,FALSE)</f>
        <v>0</v>
      </c>
      <c r="J81" s="11">
        <f t="shared" si="10"/>
        <v>0</v>
      </c>
      <c r="K81" s="13">
        <f t="shared" si="11"/>
        <v>0</v>
      </c>
      <c r="L81" s="11">
        <f t="shared" si="12"/>
        <v>48.05</v>
      </c>
      <c r="M81" s="30">
        <f>$H$195</f>
        <v>18865.9793814433</v>
      </c>
      <c r="N81" s="14">
        <f t="shared" si="13"/>
        <v>906600</v>
      </c>
      <c r="O81" s="14">
        <f t="shared" si="14"/>
        <v>191662.5</v>
      </c>
      <c r="P81" s="15">
        <v>71537.5</v>
      </c>
      <c r="Q81" s="16">
        <f>VLOOKUP(B81,[2]Sheet1!$C$2:$D$299,2,FALSE)</f>
        <v>71537.5</v>
      </c>
      <c r="R81" s="17">
        <v>71536</v>
      </c>
      <c r="S81" s="18">
        <f t="shared" si="15"/>
        <v>-1.5</v>
      </c>
      <c r="T81" s="19">
        <f t="shared" si="16"/>
        <v>-1.5</v>
      </c>
      <c r="U81" s="20" t="str">
        <f t="shared" si="17"/>
        <v>ATRASADO</v>
      </c>
      <c r="V81" s="21">
        <f>VLOOKUP(B81,'[3]Deal List'!$F$4:$Q$302,8,FALSE)</f>
        <v>2</v>
      </c>
      <c r="W81" s="22" t="str">
        <f>VLOOKUP(B81,'[3]Deal List'!$F$4:$Q$302,9,FALSE)</f>
        <v>APROBADA</v>
      </c>
      <c r="X81" s="23">
        <f>VLOOKUP(B81,'[3]Deal List'!$F$4:$Q$302,12,FALSE)</f>
        <v>0</v>
      </c>
    </row>
    <row r="82" spans="1:24" ht="19.2" customHeight="1" x14ac:dyDescent="0.3">
      <c r="A82" s="22" t="s">
        <v>90</v>
      </c>
      <c r="B82" s="22">
        <v>915</v>
      </c>
      <c r="C82" s="9" t="str">
        <f>VLOOKUP(B82,'[1]Matriz Precios A'!$B$3:$BN$301,2,FALSE)</f>
        <v>E2</v>
      </c>
      <c r="D82" s="10">
        <f>VLOOKUP(B82,'[1]Matriz Precios A'!$B$3:$BN$301,34,FALSE)</f>
        <v>1309197.44</v>
      </c>
      <c r="E82" s="11">
        <f>VLOOKUP(B82,'[1]Matriz Precios A'!$B$3:$BN$301,3,FALSE)</f>
        <v>70.81</v>
      </c>
      <c r="F82" s="11">
        <v>0</v>
      </c>
      <c r="G82" s="12">
        <f>VLOOKUP(B82,'[1]Matriz Precios A'!$B$3:$BP$301,7,FALSE)</f>
        <v>0</v>
      </c>
      <c r="H82" s="13">
        <f t="shared" si="9"/>
        <v>0</v>
      </c>
      <c r="I82" s="13">
        <f>VLOOKUP(B82,'[1]Matriz Precios A'!$B$3:$BP$301,8,FALSE)</f>
        <v>1</v>
      </c>
      <c r="J82" s="11">
        <f t="shared" si="10"/>
        <v>25</v>
      </c>
      <c r="K82" s="13">
        <f t="shared" si="11"/>
        <v>5.3</v>
      </c>
      <c r="L82" s="11">
        <f t="shared" si="12"/>
        <v>101.11</v>
      </c>
      <c r="M82" s="14">
        <f>$H$201</f>
        <v>15392.061955469506</v>
      </c>
      <c r="N82" s="14">
        <f t="shared" si="13"/>
        <v>1556300</v>
      </c>
      <c r="O82" s="14">
        <f t="shared" si="14"/>
        <v>247102.56000000006</v>
      </c>
      <c r="P82" s="16">
        <v>130997.44</v>
      </c>
      <c r="Q82" s="16">
        <f>VLOOKUP(B82,[2]Sheet1!$C$2:$D$299,2,FALSE)</f>
        <v>130997.44</v>
      </c>
      <c r="R82" s="17">
        <v>130997</v>
      </c>
      <c r="S82" s="18">
        <f t="shared" si="15"/>
        <v>-0.44000000000232831</v>
      </c>
      <c r="T82" s="19">
        <f t="shared" si="16"/>
        <v>-0.44000000000232831</v>
      </c>
      <c r="U82" s="20" t="str">
        <f t="shared" si="17"/>
        <v>ATRASADO</v>
      </c>
      <c r="V82" s="21">
        <f>VLOOKUP(B82,'[3]Deal List'!$F$4:$Q$302,8,FALSE)</f>
        <v>2</v>
      </c>
      <c r="W82" s="22" t="str">
        <f>VLOOKUP(B82,'[3]Deal List'!$F$4:$Q$302,9,FALSE)</f>
        <v>DENEGADA</v>
      </c>
      <c r="X82" s="23" t="str">
        <f>VLOOKUP(B82,'[3]Deal List'!$F$4:$Q$302,12,FALSE)</f>
        <v>Cliente posee un RCI del 53% (Credito Hipotecario Q787 mil y TCs por Q544 mil)</v>
      </c>
    </row>
    <row r="83" spans="1:24" x14ac:dyDescent="0.3">
      <c r="A83" s="9" t="s">
        <v>91</v>
      </c>
      <c r="B83" s="28">
        <v>111</v>
      </c>
      <c r="C83" s="9" t="str">
        <f>VLOOKUP(B83,'[1]Matriz Precios A'!$B$3:$BN$301,2,FALSE)</f>
        <v>A6.1</v>
      </c>
      <c r="D83" s="10">
        <f>VLOOKUP(B83,'[1]Matriz Precios A'!$B$3:$BN$301,34,FALSE)</f>
        <v>696700</v>
      </c>
      <c r="E83" s="11">
        <f>VLOOKUP(B83,'[1]Matriz Precios A'!$B$3:$BN$301,3,FALSE)</f>
        <v>34.22</v>
      </c>
      <c r="F83" s="11">
        <f>VLOOKUP(B83,'[1]Matriz Precios A'!$B$3:$BN$301,6,FALSE)</f>
        <v>9.32</v>
      </c>
      <c r="G83" s="12">
        <f>VLOOKUP(B83,'[1]Matriz Precios A'!$B$3:$BP$301,7,FALSE)</f>
        <v>1</v>
      </c>
      <c r="H83" s="13">
        <f t="shared" si="9"/>
        <v>12.5</v>
      </c>
      <c r="I83" s="13">
        <f>VLOOKUP(B83,'[1]Matriz Precios A'!$B$3:$BP$301,8,FALSE)</f>
        <v>0</v>
      </c>
      <c r="J83" s="11">
        <f t="shared" si="10"/>
        <v>0</v>
      </c>
      <c r="K83" s="13">
        <f t="shared" si="11"/>
        <v>0</v>
      </c>
      <c r="L83" s="11">
        <f t="shared" si="12"/>
        <v>56.04</v>
      </c>
      <c r="M83" s="14">
        <f>$H$195</f>
        <v>18865.9793814433</v>
      </c>
      <c r="N83" s="14">
        <f t="shared" si="13"/>
        <v>1057300</v>
      </c>
      <c r="O83" s="14">
        <f t="shared" si="14"/>
        <v>360600</v>
      </c>
      <c r="P83" s="16">
        <v>69700</v>
      </c>
      <c r="Q83" s="16">
        <f>VLOOKUP(B83,[2]Sheet1!$C$2:$D$299,2,FALSE)</f>
        <v>69700</v>
      </c>
      <c r="R83" s="17">
        <v>69700</v>
      </c>
      <c r="S83" s="17">
        <f t="shared" si="15"/>
        <v>0</v>
      </c>
      <c r="T83" s="43">
        <f t="shared" si="16"/>
        <v>0</v>
      </c>
      <c r="U83" s="20" t="str">
        <f t="shared" si="17"/>
        <v>AL DÍA</v>
      </c>
      <c r="V83" s="21">
        <f>VLOOKUP(B83,'[3]Deal List'!$F$4:$Q$302,8,FALSE)</f>
        <v>1</v>
      </c>
      <c r="W83" s="22" t="str">
        <f>VLOOKUP(B83,'[3]Deal List'!$F$4:$Q$302,9,FALSE)</f>
        <v>DENEGADA</v>
      </c>
      <c r="X83" s="23" t="str">
        <f>VLOOKUP(B83,'[3]Deal List'!$F$4:$Q$302,12,FALSE)</f>
        <v>Cliente posee RCI del 68% (Crédito hipotecario Q471mil y TCs por Q44 mil), se sugiere adicionar otro deudor.</v>
      </c>
    </row>
    <row r="84" spans="1:24" x14ac:dyDescent="0.3">
      <c r="A84" s="31" t="s">
        <v>92</v>
      </c>
      <c r="B84" s="27">
        <v>210</v>
      </c>
      <c r="C84" s="9" t="str">
        <f>VLOOKUP(B84,'[1]Matriz Precios A'!$B$3:$BN$301,2,FALSE)</f>
        <v>B3</v>
      </c>
      <c r="D84" s="10">
        <f>VLOOKUP(B84,'[1]Matriz Precios A'!$B$3:$BN$301,34,FALSE)</f>
        <v>1037521.78830839</v>
      </c>
      <c r="E84" s="11">
        <f>VLOOKUP(B84,'[1]Matriz Precios A'!$B$3:$BN$301,3,FALSE)</f>
        <v>48.96</v>
      </c>
      <c r="F84" s="11">
        <v>0</v>
      </c>
      <c r="G84" s="12">
        <f>VLOOKUP(B84,'[1]Matriz Precios A'!$B$3:$BP$301,7,FALSE)</f>
        <v>1</v>
      </c>
      <c r="H84" s="13">
        <f t="shared" si="9"/>
        <v>12.5</v>
      </c>
      <c r="I84" s="13">
        <f>VLOOKUP(B84,'[1]Matriz Precios A'!$B$3:$BP$301,8,FALSE)</f>
        <v>0</v>
      </c>
      <c r="J84" s="11">
        <f t="shared" si="10"/>
        <v>0</v>
      </c>
      <c r="K84" s="13">
        <f t="shared" si="11"/>
        <v>0</v>
      </c>
      <c r="L84" s="11">
        <f t="shared" si="12"/>
        <v>61.46</v>
      </c>
      <c r="M84" s="14">
        <f>$H$196</f>
        <v>16800</v>
      </c>
      <c r="N84" s="14">
        <f t="shared" si="13"/>
        <v>1032600</v>
      </c>
      <c r="O84" s="32">
        <f t="shared" si="14"/>
        <v>-4921.7883083899505</v>
      </c>
      <c r="P84" s="15">
        <v>111048.31</v>
      </c>
      <c r="Q84" s="16">
        <f>VLOOKUP(B84,[2]Sheet1!$C$2:$D$299,2,FALSE)</f>
        <v>76121.62000000001</v>
      </c>
      <c r="R84" s="17">
        <v>76121.62000000001</v>
      </c>
      <c r="S84" s="17">
        <f t="shared" si="15"/>
        <v>0</v>
      </c>
      <c r="T84" s="19">
        <f t="shared" si="16"/>
        <v>-34926.689999999988</v>
      </c>
      <c r="U84" s="20" t="str">
        <f t="shared" si="17"/>
        <v>AL DÍA</v>
      </c>
      <c r="V84" s="21">
        <f>VLOOKUP(B84,'[3]Deal List'!$F$4:$Q$302,8,FALSE)</f>
        <v>3</v>
      </c>
      <c r="W84" s="22" t="str">
        <f>VLOOKUP(B84,'[3]Deal List'!$F$4:$Q$302,9,FALSE)</f>
        <v>APROBADA</v>
      </c>
      <c r="X84" s="23">
        <f>VLOOKUP(B84,'[3]Deal List'!$F$4:$Q$302,12,FALSE)</f>
        <v>0</v>
      </c>
    </row>
    <row r="85" spans="1:24" x14ac:dyDescent="0.3">
      <c r="A85" s="29" t="s">
        <v>93</v>
      </c>
      <c r="B85" s="29">
        <v>214</v>
      </c>
      <c r="C85" s="9" t="str">
        <f>VLOOKUP(B85,'[1]Matriz Precios A'!$B$3:$BN$301,2,FALSE)</f>
        <v>A1</v>
      </c>
      <c r="D85" s="10">
        <f>VLOOKUP(B85,'[1]Matriz Precios A'!$B$3:$BN$301,34,FALSE)</f>
        <v>720472.5</v>
      </c>
      <c r="E85" s="11">
        <f>VLOOKUP(B85,'[1]Matriz Precios A'!$B$3:$BN$301,3,FALSE)</f>
        <v>35.85</v>
      </c>
      <c r="F85" s="11">
        <v>0</v>
      </c>
      <c r="G85" s="12">
        <f>VLOOKUP(B85,'[1]Matriz Precios A'!$B$3:$BP$301,7,FALSE)</f>
        <v>1</v>
      </c>
      <c r="H85" s="13">
        <f t="shared" si="9"/>
        <v>12.5</v>
      </c>
      <c r="I85" s="13">
        <f>VLOOKUP(B85,'[1]Matriz Precios A'!$B$3:$BP$301,8,FALSE)</f>
        <v>0</v>
      </c>
      <c r="J85" s="11">
        <f t="shared" si="10"/>
        <v>0</v>
      </c>
      <c r="K85" s="13">
        <f t="shared" si="11"/>
        <v>0</v>
      </c>
      <c r="L85" s="11">
        <f t="shared" si="12"/>
        <v>48.35</v>
      </c>
      <c r="M85" s="30">
        <f>$H$195</f>
        <v>18865.9793814433</v>
      </c>
      <c r="N85" s="14">
        <f t="shared" si="13"/>
        <v>912200</v>
      </c>
      <c r="O85" s="14">
        <f t="shared" si="14"/>
        <v>191727.5</v>
      </c>
      <c r="P85" s="15">
        <v>72072.5</v>
      </c>
      <c r="Q85" s="16">
        <f>VLOOKUP(B85,[2]Sheet1!$C$2:$D$299,2,FALSE)</f>
        <v>72072.5</v>
      </c>
      <c r="R85" s="17">
        <v>72072.5</v>
      </c>
      <c r="S85" s="17">
        <f t="shared" si="15"/>
        <v>0</v>
      </c>
      <c r="T85" s="43">
        <f t="shared" si="16"/>
        <v>0</v>
      </c>
      <c r="U85" s="20" t="str">
        <f t="shared" si="17"/>
        <v>AL DÍA</v>
      </c>
      <c r="V85" s="21">
        <f>VLOOKUP(B85,'[3]Deal List'!$F$4:$Q$302,8,FALSE)</f>
        <v>2</v>
      </c>
      <c r="W85" s="22" t="str">
        <f>VLOOKUP(B85,'[3]Deal List'!$F$4:$Q$302,9,FALSE)</f>
        <v>APROBADA</v>
      </c>
      <c r="X85" s="23">
        <f>VLOOKUP(B85,'[3]Deal List'!$F$4:$Q$302,12,FALSE)</f>
        <v>0</v>
      </c>
    </row>
    <row r="86" spans="1:24" x14ac:dyDescent="0.3">
      <c r="A86" s="29" t="s">
        <v>94</v>
      </c>
      <c r="B86" s="27">
        <v>301</v>
      </c>
      <c r="C86" s="9" t="str">
        <f>VLOOKUP(B86,'[1]Matriz Precios A'!$B$3:$BN$301,2,FALSE)</f>
        <v>C3</v>
      </c>
      <c r="D86" s="10">
        <f>VLOOKUP(B86,'[1]Matriz Precios A'!$B$3:$BN$301,34,FALSE)</f>
        <v>1273000</v>
      </c>
      <c r="E86" s="11">
        <f>VLOOKUP(B86,'[1]Matriz Precios A'!$B$3:$BN$301,3,FALSE)</f>
        <v>54.27</v>
      </c>
      <c r="F86" s="11">
        <v>0</v>
      </c>
      <c r="G86" s="12">
        <f>VLOOKUP(B86,'[1]Matriz Precios A'!$B$3:$BP$301,7,FALSE)</f>
        <v>0</v>
      </c>
      <c r="H86" s="13">
        <f t="shared" si="9"/>
        <v>0</v>
      </c>
      <c r="I86" s="13">
        <f>VLOOKUP(B86,'[1]Matriz Precios A'!$B$3:$BP$301,8,FALSE)</f>
        <v>1</v>
      </c>
      <c r="J86" s="11">
        <f t="shared" si="10"/>
        <v>25</v>
      </c>
      <c r="K86" s="13">
        <f t="shared" si="11"/>
        <v>5.3</v>
      </c>
      <c r="L86" s="11">
        <f t="shared" si="12"/>
        <v>84.570000000000007</v>
      </c>
      <c r="M86" s="14">
        <f>$H$199</f>
        <v>15826.494724501759</v>
      </c>
      <c r="N86" s="14">
        <f t="shared" si="13"/>
        <v>1338500</v>
      </c>
      <c r="O86" s="14">
        <f t="shared" si="14"/>
        <v>65500</v>
      </c>
      <c r="P86" s="15">
        <v>127300</v>
      </c>
      <c r="Q86" s="16">
        <f>VLOOKUP(B86,[2]Sheet1!$C$2:$D$299,2,FALSE)</f>
        <v>127300</v>
      </c>
      <c r="R86" s="17">
        <v>127300</v>
      </c>
      <c r="S86" s="17">
        <f t="shared" si="15"/>
        <v>0</v>
      </c>
      <c r="T86" s="43">
        <f t="shared" si="16"/>
        <v>0</v>
      </c>
      <c r="U86" s="20" t="str">
        <f t="shared" si="17"/>
        <v>AL DÍA</v>
      </c>
      <c r="V86" s="21">
        <f>VLOOKUP(B86,'[3]Deal List'!$F$4:$Q$302,8,FALSE)</f>
        <v>2</v>
      </c>
      <c r="W86" s="22" t="str">
        <f>VLOOKUP(B86,'[3]Deal List'!$F$4:$Q$302,9,FALSE)</f>
        <v>APROBADA</v>
      </c>
      <c r="X86" s="23">
        <f>VLOOKUP(B86,'[3]Deal List'!$F$4:$Q$302,12,FALSE)</f>
        <v>0</v>
      </c>
    </row>
    <row r="87" spans="1:24" x14ac:dyDescent="0.3">
      <c r="A87" s="8" t="s">
        <v>95</v>
      </c>
      <c r="B87" s="27">
        <v>304</v>
      </c>
      <c r="C87" s="9" t="str">
        <f>VLOOKUP(B87,'[1]Matriz Precios A'!$B$3:$BN$301,2,FALSE)</f>
        <v>A3</v>
      </c>
      <c r="D87" s="10">
        <f>VLOOKUP(B87,'[1]Matriz Precios A'!$B$3:$BN$301,34,FALSE)</f>
        <v>833815.20101665298</v>
      </c>
      <c r="E87" s="11">
        <f>VLOOKUP(B87,'[1]Matriz Precios A'!$B$3:$BN$301,3,FALSE)</f>
        <v>35.94</v>
      </c>
      <c r="F87" s="11">
        <v>0</v>
      </c>
      <c r="G87" s="12">
        <f>VLOOKUP(B87,'[1]Matriz Precios A'!$B$3:$BP$301,7,FALSE)</f>
        <v>1</v>
      </c>
      <c r="H87" s="13">
        <f t="shared" si="9"/>
        <v>12.5</v>
      </c>
      <c r="I87" s="13">
        <f>VLOOKUP(B87,'[1]Matriz Precios A'!$B$3:$BP$301,8,FALSE)</f>
        <v>0</v>
      </c>
      <c r="J87" s="11">
        <f t="shared" si="10"/>
        <v>0</v>
      </c>
      <c r="K87" s="13">
        <f t="shared" si="11"/>
        <v>0</v>
      </c>
      <c r="L87" s="11">
        <f t="shared" si="12"/>
        <v>48.44</v>
      </c>
      <c r="M87" s="30">
        <f>$H$195</f>
        <v>18865.9793814433</v>
      </c>
      <c r="N87" s="14">
        <f t="shared" si="13"/>
        <v>913900</v>
      </c>
      <c r="O87" s="14">
        <f t="shared" si="14"/>
        <v>80084.79898334702</v>
      </c>
      <c r="P87" s="15">
        <v>83415.199999999997</v>
      </c>
      <c r="Q87" s="16">
        <f>VLOOKUP(B87,[2]Sheet1!$C$2:$D$299,2,FALSE)</f>
        <v>67684</v>
      </c>
      <c r="R87" s="17">
        <v>67684</v>
      </c>
      <c r="S87" s="17">
        <f t="shared" si="15"/>
        <v>0</v>
      </c>
      <c r="T87" s="19">
        <f t="shared" si="16"/>
        <v>-15731.199999999997</v>
      </c>
      <c r="U87" s="20" t="str">
        <f t="shared" si="17"/>
        <v>AL DÍA</v>
      </c>
      <c r="V87" s="21">
        <f>VLOOKUP(B87,'[3]Deal List'!$F$4:$Q$302,8,FALSE)</f>
        <v>2</v>
      </c>
      <c r="W87" s="22" t="str">
        <f>VLOOKUP(B87,'[3]Deal List'!$F$4:$Q$302,9,FALSE)</f>
        <v>APROBADA</v>
      </c>
      <c r="X87" s="23">
        <f>VLOOKUP(B87,'[3]Deal List'!$F$4:$Q$302,12,FALSE)</f>
        <v>0</v>
      </c>
    </row>
    <row r="88" spans="1:24" x14ac:dyDescent="0.3">
      <c r="A88" s="8" t="s">
        <v>95</v>
      </c>
      <c r="B88" s="29">
        <v>308</v>
      </c>
      <c r="C88" s="9" t="str">
        <f>VLOOKUP(B88,'[1]Matriz Precios A'!$B$3:$BN$301,2,FALSE)</f>
        <v>B1</v>
      </c>
      <c r="D88" s="10">
        <f>VLOOKUP(B88,'[1]Matriz Precios A'!$B$3:$BN$301,34,FALSE)</f>
        <v>1032728.18978229</v>
      </c>
      <c r="E88" s="11">
        <f>VLOOKUP(B88,'[1]Matriz Precios A'!$B$3:$BN$301,3,FALSE)</f>
        <v>48.69</v>
      </c>
      <c r="F88" s="11">
        <v>0</v>
      </c>
      <c r="G88" s="12">
        <f>VLOOKUP(B88,'[1]Matriz Precios A'!$B$3:$BP$301,7,FALSE)</f>
        <v>1</v>
      </c>
      <c r="H88" s="13">
        <f t="shared" si="9"/>
        <v>12.5</v>
      </c>
      <c r="I88" s="13">
        <f>VLOOKUP(B88,'[1]Matriz Precios A'!$B$3:$BP$301,8,FALSE)</f>
        <v>0</v>
      </c>
      <c r="J88" s="11">
        <f t="shared" si="10"/>
        <v>0</v>
      </c>
      <c r="K88" s="13">
        <f t="shared" si="11"/>
        <v>0</v>
      </c>
      <c r="L88" s="11">
        <f t="shared" si="12"/>
        <v>61.19</v>
      </c>
      <c r="M88" s="14">
        <f>$H$196</f>
        <v>16800</v>
      </c>
      <c r="N88" s="14">
        <f t="shared" si="13"/>
        <v>1028000</v>
      </c>
      <c r="O88" s="32">
        <f t="shared" si="14"/>
        <v>-4728.189782290021</v>
      </c>
      <c r="P88" s="15">
        <v>103328.19</v>
      </c>
      <c r="Q88" s="16">
        <f>VLOOKUP(B88,[2]Sheet1!$C$2:$D$299,2,FALSE)</f>
        <v>83326</v>
      </c>
      <c r="R88" s="17">
        <v>83326</v>
      </c>
      <c r="S88" s="17">
        <f t="shared" si="15"/>
        <v>0</v>
      </c>
      <c r="T88" s="19">
        <f t="shared" si="16"/>
        <v>-20002.190000000002</v>
      </c>
      <c r="U88" s="20" t="str">
        <f t="shared" si="17"/>
        <v>AL DÍA</v>
      </c>
      <c r="V88" s="21">
        <f>VLOOKUP(B88,'[3]Deal List'!$F$4:$Q$302,8,FALSE)</f>
        <v>2</v>
      </c>
      <c r="W88" s="22" t="str">
        <f>VLOOKUP(B88,'[3]Deal List'!$F$4:$Q$302,9,FALSE)</f>
        <v>APROBADA</v>
      </c>
      <c r="X88" s="23">
        <f>VLOOKUP(B88,'[3]Deal List'!$F$4:$Q$302,12,FALSE)</f>
        <v>0</v>
      </c>
    </row>
    <row r="89" spans="1:24" x14ac:dyDescent="0.3">
      <c r="A89" s="29" t="s">
        <v>96</v>
      </c>
      <c r="B89" s="27">
        <v>312</v>
      </c>
      <c r="C89" s="9" t="str">
        <f>VLOOKUP(B89,'[1]Matriz Precios A'!$B$3:$BN$301,2,FALSE)</f>
        <v>C8</v>
      </c>
      <c r="D89" s="10">
        <f>VLOOKUP(B89,'[1]Matriz Precios A'!$B$3:$BN$301,34,FALSE)</f>
        <v>1414462.31631225</v>
      </c>
      <c r="E89" s="11">
        <f>VLOOKUP(B89,'[1]Matriz Precios A'!$B$3:$BN$301,3,FALSE)</f>
        <v>57.97</v>
      </c>
      <c r="F89" s="11">
        <v>0</v>
      </c>
      <c r="G89" s="12">
        <f>VLOOKUP(B89,'[1]Matriz Precios A'!$B$3:$BP$301,7,FALSE)</f>
        <v>0</v>
      </c>
      <c r="H89" s="13">
        <f t="shared" si="9"/>
        <v>0</v>
      </c>
      <c r="I89" s="13">
        <f>VLOOKUP(B89,'[1]Matriz Precios A'!$B$3:$BP$301,8,FALSE)</f>
        <v>1</v>
      </c>
      <c r="J89" s="11">
        <f t="shared" si="10"/>
        <v>25</v>
      </c>
      <c r="K89" s="13">
        <f t="shared" si="11"/>
        <v>5.3</v>
      </c>
      <c r="L89" s="11">
        <f t="shared" si="12"/>
        <v>88.27</v>
      </c>
      <c r="M89" s="14">
        <f>$H$199</f>
        <v>15826.494724501759</v>
      </c>
      <c r="N89" s="14">
        <f t="shared" si="13"/>
        <v>1397100</v>
      </c>
      <c r="O89" s="32">
        <f t="shared" si="14"/>
        <v>-17362.316312249983</v>
      </c>
      <c r="P89" s="15">
        <v>141462.32</v>
      </c>
      <c r="Q89" s="16">
        <f>VLOOKUP(B89,[2]Sheet1!$C$2:$D$299,2,FALSE)</f>
        <v>110063</v>
      </c>
      <c r="R89" s="17">
        <v>110063</v>
      </c>
      <c r="S89" s="17">
        <f t="shared" si="15"/>
        <v>0</v>
      </c>
      <c r="T89" s="19">
        <f t="shared" si="16"/>
        <v>-31399.320000000007</v>
      </c>
      <c r="U89" s="20" t="str">
        <f t="shared" si="17"/>
        <v>AL DÍA</v>
      </c>
      <c r="V89" s="21">
        <f>VLOOKUP(B89,'[3]Deal List'!$F$4:$Q$302,8,FALSE)</f>
        <v>2</v>
      </c>
      <c r="W89" s="22" t="str">
        <f>VLOOKUP(B89,'[3]Deal List'!$F$4:$Q$302,9,FALSE)</f>
        <v>APROBADA</v>
      </c>
      <c r="X89" s="23">
        <f>VLOOKUP(B89,'[3]Deal List'!$F$4:$Q$302,12,FALSE)</f>
        <v>0</v>
      </c>
    </row>
    <row r="90" spans="1:24" x14ac:dyDescent="0.3">
      <c r="A90" s="31" t="s">
        <v>97</v>
      </c>
      <c r="B90" s="26">
        <v>314</v>
      </c>
      <c r="C90" s="9" t="str">
        <f>VLOOKUP(B90,'[1]Matriz Precios A'!$B$3:$BN$301,2,FALSE)</f>
        <v>B3</v>
      </c>
      <c r="D90" s="10">
        <f>VLOOKUP(B90,'[1]Matriz Precios A'!$B$3:$BN$301,34,FALSE)</f>
        <v>1037521.78830839</v>
      </c>
      <c r="E90" s="11">
        <f>VLOOKUP(B90,'[1]Matriz Precios A'!$B$3:$BN$301,3,FALSE)</f>
        <v>48.96</v>
      </c>
      <c r="F90" s="11">
        <v>0</v>
      </c>
      <c r="G90" s="12">
        <f>VLOOKUP(B90,'[1]Matriz Precios A'!$B$3:$BP$301,7,FALSE)</f>
        <v>1</v>
      </c>
      <c r="H90" s="13">
        <f t="shared" si="9"/>
        <v>12.5</v>
      </c>
      <c r="I90" s="13">
        <f>VLOOKUP(B90,'[1]Matriz Precios A'!$B$3:$BP$301,8,FALSE)</f>
        <v>0</v>
      </c>
      <c r="J90" s="11">
        <f t="shared" si="10"/>
        <v>0</v>
      </c>
      <c r="K90" s="13">
        <f t="shared" si="11"/>
        <v>0</v>
      </c>
      <c r="L90" s="11">
        <f t="shared" si="12"/>
        <v>61.46</v>
      </c>
      <c r="M90" s="14">
        <f>$H$196</f>
        <v>16800</v>
      </c>
      <c r="N90" s="14">
        <f t="shared" si="13"/>
        <v>1032600</v>
      </c>
      <c r="O90" s="32">
        <f t="shared" si="14"/>
        <v>-4921.7883083899505</v>
      </c>
      <c r="P90" s="15">
        <v>77748.31</v>
      </c>
      <c r="Q90" s="16">
        <f>VLOOKUP(B90,[2]Sheet1!$C$2:$D$299,2,FALSE)</f>
        <v>50648.98000000001</v>
      </c>
      <c r="R90" s="17">
        <v>50648.98000000001</v>
      </c>
      <c r="S90" s="17">
        <f t="shared" si="15"/>
        <v>0</v>
      </c>
      <c r="T90" s="19">
        <f t="shared" si="16"/>
        <v>-27099.329999999987</v>
      </c>
      <c r="U90" s="20" t="str">
        <f t="shared" si="17"/>
        <v>AL DÍA</v>
      </c>
      <c r="V90" s="21">
        <f>VLOOKUP(B90,'[3]Deal List'!$F$4:$Q$302,8,FALSE)</f>
        <v>3</v>
      </c>
      <c r="W90" s="22" t="str">
        <f>VLOOKUP(B90,'[3]Deal List'!$F$4:$Q$302,9,FALSE)</f>
        <v>APROBADA</v>
      </c>
      <c r="X90" s="23">
        <f>VLOOKUP(B90,'[3]Deal List'!$F$4:$Q$302,12,FALSE)</f>
        <v>0</v>
      </c>
    </row>
    <row r="91" spans="1:24" x14ac:dyDescent="0.3">
      <c r="A91" s="29" t="s">
        <v>98</v>
      </c>
      <c r="B91" s="29">
        <v>318</v>
      </c>
      <c r="C91" s="9" t="str">
        <f>VLOOKUP(B91,'[1]Matriz Precios A'!$B$3:$BN$301,2,FALSE)</f>
        <v>A1</v>
      </c>
      <c r="D91" s="10">
        <f>VLOOKUP(B91,'[1]Matriz Precios A'!$B$3:$BN$301,34,FALSE)</f>
        <v>720472.5</v>
      </c>
      <c r="E91" s="11">
        <f>VLOOKUP(B91,'[1]Matriz Precios A'!$B$3:$BN$301,3,FALSE)</f>
        <v>35.85</v>
      </c>
      <c r="F91" s="11">
        <v>0</v>
      </c>
      <c r="G91" s="12">
        <f>VLOOKUP(B91,'[1]Matriz Precios A'!$B$3:$BP$301,7,FALSE)</f>
        <v>1</v>
      </c>
      <c r="H91" s="13">
        <f t="shared" si="9"/>
        <v>12.5</v>
      </c>
      <c r="I91" s="13">
        <f>VLOOKUP(B91,'[1]Matriz Precios A'!$B$3:$BP$301,8,FALSE)</f>
        <v>0</v>
      </c>
      <c r="J91" s="11">
        <f t="shared" si="10"/>
        <v>0</v>
      </c>
      <c r="K91" s="13">
        <f t="shared" si="11"/>
        <v>0</v>
      </c>
      <c r="L91" s="11">
        <f t="shared" si="12"/>
        <v>48.35</v>
      </c>
      <c r="M91" s="30">
        <f>$H$195</f>
        <v>18865.9793814433</v>
      </c>
      <c r="N91" s="14">
        <f t="shared" si="13"/>
        <v>912200</v>
      </c>
      <c r="O91" s="14">
        <f t="shared" si="14"/>
        <v>191727.5</v>
      </c>
      <c r="P91" s="15">
        <v>72072.5</v>
      </c>
      <c r="Q91" s="16">
        <f>VLOOKUP(B91,[2]Sheet1!$C$2:$D$299,2,FALSE)</f>
        <v>72072.5</v>
      </c>
      <c r="R91" s="17">
        <v>72072.5</v>
      </c>
      <c r="S91" s="17">
        <f t="shared" si="15"/>
        <v>0</v>
      </c>
      <c r="T91" s="43">
        <f t="shared" si="16"/>
        <v>0</v>
      </c>
      <c r="U91" s="20" t="str">
        <f t="shared" si="17"/>
        <v>AL DÍA</v>
      </c>
      <c r="V91" s="21">
        <f>VLOOKUP(B91,'[3]Deal List'!$F$4:$Q$302,8,FALSE)</f>
        <v>2</v>
      </c>
      <c r="W91" s="22" t="str">
        <f>VLOOKUP(B91,'[3]Deal List'!$F$4:$Q$302,9,FALSE)</f>
        <v>DENEGADA</v>
      </c>
      <c r="X91" s="23" t="str">
        <f>VLOOKUP(B91,'[3]Deal List'!$F$4:$Q$302,12,FALSE)</f>
        <v>Cliente ahora no posee capacidad de pago, se recomienda adicionar un segundo deudor con Q8,000 libres.</v>
      </c>
    </row>
    <row r="92" spans="1:24" x14ac:dyDescent="0.3">
      <c r="A92" s="31" t="s">
        <v>99</v>
      </c>
      <c r="B92" s="26">
        <v>407</v>
      </c>
      <c r="C92" s="9" t="str">
        <f>VLOOKUP(B92,'[1]Matriz Precios A'!$B$3:$BN$301,2,FALSE)</f>
        <v>B6</v>
      </c>
      <c r="D92" s="10">
        <f>VLOOKUP(B92,'[1]Matriz Precios A'!$B$3:$BN$301,34,FALSE)</f>
        <v>1056462.34833836</v>
      </c>
      <c r="E92" s="11">
        <f>VLOOKUP(B92,'[1]Matriz Precios A'!$B$3:$BN$301,3,FALSE)</f>
        <v>50.03</v>
      </c>
      <c r="F92" s="11">
        <v>0</v>
      </c>
      <c r="G92" s="12">
        <f>VLOOKUP(B92,'[1]Matriz Precios A'!$B$3:$BP$301,7,FALSE)</f>
        <v>1</v>
      </c>
      <c r="H92" s="13">
        <f t="shared" si="9"/>
        <v>12.5</v>
      </c>
      <c r="I92" s="13">
        <f>VLOOKUP(B92,'[1]Matriz Precios A'!$B$3:$BP$301,8,FALSE)</f>
        <v>0</v>
      </c>
      <c r="J92" s="11">
        <f t="shared" si="10"/>
        <v>0</v>
      </c>
      <c r="K92" s="13">
        <f t="shared" si="11"/>
        <v>0</v>
      </c>
      <c r="L92" s="11">
        <f t="shared" si="12"/>
        <v>62.53</v>
      </c>
      <c r="M92" s="14">
        <f>$H$196</f>
        <v>16800</v>
      </c>
      <c r="N92" s="14">
        <f t="shared" si="13"/>
        <v>1050600</v>
      </c>
      <c r="O92" s="32">
        <f t="shared" si="14"/>
        <v>-5862.3483383599669</v>
      </c>
      <c r="P92" s="15">
        <v>80414.710000000006</v>
      </c>
      <c r="Q92" s="16">
        <f>VLOOKUP(B92,[2]Sheet1!$C$2:$D$299,2,FALSE)</f>
        <v>52248.820000000007</v>
      </c>
      <c r="R92" s="17">
        <v>52248.820000000007</v>
      </c>
      <c r="S92" s="17">
        <f t="shared" si="15"/>
        <v>0</v>
      </c>
      <c r="T92" s="19">
        <f t="shared" si="16"/>
        <v>-28165.89</v>
      </c>
      <c r="U92" s="20" t="str">
        <f t="shared" si="17"/>
        <v>AL DÍA</v>
      </c>
      <c r="V92" s="21">
        <f>VLOOKUP(B92,'[3]Deal List'!$F$4:$Q$302,8,FALSE)</f>
        <v>3</v>
      </c>
      <c r="W92" s="22" t="str">
        <f>VLOOKUP(B92,'[3]Deal List'!$F$4:$Q$302,9,FALSE)</f>
        <v>APROBADA</v>
      </c>
      <c r="X92" s="23">
        <f>VLOOKUP(B92,'[3]Deal List'!$F$4:$Q$302,12,FALSE)</f>
        <v>0</v>
      </c>
    </row>
    <row r="93" spans="1:24" x14ac:dyDescent="0.3">
      <c r="A93" s="31" t="s">
        <v>100</v>
      </c>
      <c r="B93" s="27">
        <v>503</v>
      </c>
      <c r="C93" s="9" t="str">
        <f>VLOOKUP(B93,'[1]Matriz Precios A'!$B$3:$BN$301,2,FALSE)</f>
        <v>B4</v>
      </c>
      <c r="D93" s="10">
        <f>VLOOKUP(B93,'[1]Matriz Precios A'!$B$3:$BN$301,34,FALSE)</f>
        <v>1047132</v>
      </c>
      <c r="E93" s="11">
        <f>VLOOKUP(B93,'[1]Matriz Precios A'!$B$3:$BN$301,3,FALSE)</f>
        <v>49.77</v>
      </c>
      <c r="F93" s="11">
        <v>0</v>
      </c>
      <c r="G93" s="12">
        <f>VLOOKUP(B93,'[1]Matriz Precios A'!$B$3:$BP$301,7,FALSE)</f>
        <v>1</v>
      </c>
      <c r="H93" s="13">
        <f t="shared" si="9"/>
        <v>12.5</v>
      </c>
      <c r="I93" s="13">
        <f>VLOOKUP(B93,'[1]Matriz Precios A'!$B$3:$BP$301,8,FALSE)</f>
        <v>0</v>
      </c>
      <c r="J93" s="11">
        <f t="shared" si="10"/>
        <v>0</v>
      </c>
      <c r="K93" s="13">
        <f t="shared" si="11"/>
        <v>0</v>
      </c>
      <c r="L93" s="11">
        <f t="shared" si="12"/>
        <v>62.27</v>
      </c>
      <c r="M93" s="14">
        <f>$H$196</f>
        <v>16800</v>
      </c>
      <c r="N93" s="14">
        <f t="shared" si="13"/>
        <v>1046200</v>
      </c>
      <c r="O93" s="32">
        <f t="shared" si="14"/>
        <v>-932</v>
      </c>
      <c r="P93" s="15">
        <v>104732</v>
      </c>
      <c r="Q93" s="16">
        <f>VLOOKUP(B93,[2]Sheet1!$C$2:$D$299,2,FALSE)</f>
        <v>81046</v>
      </c>
      <c r="R93" s="17">
        <v>81046</v>
      </c>
      <c r="S93" s="17">
        <f t="shared" si="15"/>
        <v>0</v>
      </c>
      <c r="T93" s="19">
        <f t="shared" si="16"/>
        <v>-23686</v>
      </c>
      <c r="U93" s="20" t="str">
        <f t="shared" si="17"/>
        <v>AL DÍA</v>
      </c>
      <c r="V93" s="21">
        <f>VLOOKUP(B93,'[3]Deal List'!$F$4:$Q$302,8,FALSE)</f>
        <v>2</v>
      </c>
      <c r="W93" s="22" t="str">
        <f>VLOOKUP(B93,'[3]Deal List'!$F$4:$Q$302,9,FALSE)</f>
        <v>APROBADA</v>
      </c>
      <c r="X93" s="23">
        <f>VLOOKUP(B93,'[3]Deal List'!$F$4:$Q$302,12,FALSE)</f>
        <v>0</v>
      </c>
    </row>
    <row r="94" spans="1:24" x14ac:dyDescent="0.3">
      <c r="A94" s="9" t="s">
        <v>101</v>
      </c>
      <c r="B94" s="28">
        <v>515</v>
      </c>
      <c r="C94" s="9" t="str">
        <f>VLOOKUP(B94,'[1]Matriz Precios A'!$B$3:$BN$301,2,FALSE)</f>
        <v>A5</v>
      </c>
      <c r="D94" s="10">
        <f>VLOOKUP(B94,'[1]Matriz Precios A'!$B$3:$BN$301,34,FALSE)</f>
        <v>611949.49679780402</v>
      </c>
      <c r="E94" s="11">
        <f>VLOOKUP(B94,'[1]Matriz Precios A'!$B$3:$BN$301,3,FALSE)</f>
        <v>32.57</v>
      </c>
      <c r="F94" s="11">
        <v>0</v>
      </c>
      <c r="G94" s="12">
        <f>VLOOKUP(B94,'[1]Matriz Precios A'!$B$3:$BP$301,7,FALSE)</f>
        <v>1</v>
      </c>
      <c r="H94" s="13">
        <f t="shared" si="9"/>
        <v>12.5</v>
      </c>
      <c r="I94" s="13">
        <f>VLOOKUP(B94,'[1]Matriz Precios A'!$B$3:$BP$301,8,FALSE)</f>
        <v>0</v>
      </c>
      <c r="J94" s="11">
        <f t="shared" si="10"/>
        <v>0</v>
      </c>
      <c r="K94" s="13">
        <f t="shared" si="11"/>
        <v>0</v>
      </c>
      <c r="L94" s="11">
        <f t="shared" si="12"/>
        <v>45.07</v>
      </c>
      <c r="M94" s="14">
        <f>$H$195</f>
        <v>18865.9793814433</v>
      </c>
      <c r="N94" s="14">
        <f t="shared" si="13"/>
        <v>850300</v>
      </c>
      <c r="O94" s="14">
        <f t="shared" si="14"/>
        <v>238350.50320219598</v>
      </c>
      <c r="P94" s="16">
        <v>61249.5</v>
      </c>
      <c r="Q94" s="16">
        <f>VLOOKUP(B94,[2]Sheet1!$C$2:$D$299,2,FALSE)</f>
        <v>61249.5</v>
      </c>
      <c r="R94" s="17">
        <v>61249.5</v>
      </c>
      <c r="S94" s="17">
        <f t="shared" si="15"/>
        <v>0</v>
      </c>
      <c r="T94" s="43">
        <f t="shared" si="16"/>
        <v>0</v>
      </c>
      <c r="U94" s="20" t="str">
        <f t="shared" si="17"/>
        <v>AL DÍA</v>
      </c>
      <c r="V94" s="21">
        <f>VLOOKUP(B94,'[3]Deal List'!$F$4:$Q$302,8,FALSE)</f>
        <v>1</v>
      </c>
      <c r="W94" s="22" t="str">
        <f>VLOOKUP(B94,'[3]Deal List'!$F$4:$Q$302,9,FALSE)</f>
        <v>APROBADA</v>
      </c>
      <c r="X94" s="23">
        <f>VLOOKUP(B94,'[3]Deal List'!$F$4:$Q$302,12,FALSE)</f>
        <v>0</v>
      </c>
    </row>
    <row r="95" spans="1:24" x14ac:dyDescent="0.3">
      <c r="A95" s="31" t="s">
        <v>102</v>
      </c>
      <c r="B95" s="27">
        <v>519</v>
      </c>
      <c r="C95" s="9" t="str">
        <f>VLOOKUP(B95,'[1]Matriz Precios A'!$B$3:$BN$301,2,FALSE)</f>
        <v>E10</v>
      </c>
      <c r="D95" s="10">
        <f>VLOOKUP(B95,'[1]Matriz Precios A'!$B$3:$BN$301,34,FALSE)</f>
        <v>1529194.3266091</v>
      </c>
      <c r="E95" s="11">
        <f>VLOOKUP(B95,'[1]Matriz Precios A'!$B$3:$BN$301,3,FALSE)</f>
        <v>72.510000000000005</v>
      </c>
      <c r="F95" s="11">
        <v>0</v>
      </c>
      <c r="G95" s="12">
        <f>VLOOKUP(B95,'[1]Matriz Precios A'!$B$3:$BP$301,7,FALSE)</f>
        <v>0</v>
      </c>
      <c r="H95" s="13">
        <f t="shared" si="9"/>
        <v>0</v>
      </c>
      <c r="I95" s="13">
        <f>VLOOKUP(B95,'[1]Matriz Precios A'!$B$3:$BP$301,8,FALSE)</f>
        <v>1</v>
      </c>
      <c r="J95" s="11">
        <f t="shared" si="10"/>
        <v>25</v>
      </c>
      <c r="K95" s="13">
        <f t="shared" si="11"/>
        <v>5.3</v>
      </c>
      <c r="L95" s="11">
        <f t="shared" si="12"/>
        <v>102.81</v>
      </c>
      <c r="M95" s="14">
        <f>$H$201</f>
        <v>15392.061955469506</v>
      </c>
      <c r="N95" s="14">
        <f t="shared" si="13"/>
        <v>1582500</v>
      </c>
      <c r="O95" s="14">
        <f t="shared" si="14"/>
        <v>53305.673390900018</v>
      </c>
      <c r="P95" s="15">
        <v>112100</v>
      </c>
      <c r="Q95" s="16">
        <f>VLOOKUP(B95,[2]Sheet1!$C$2:$D$299,2,FALSE)</f>
        <v>71260</v>
      </c>
      <c r="R95" s="17">
        <v>71260</v>
      </c>
      <c r="S95" s="17">
        <f t="shared" si="15"/>
        <v>0</v>
      </c>
      <c r="T95" s="19">
        <f t="shared" si="16"/>
        <v>-40840</v>
      </c>
      <c r="U95" s="20" t="str">
        <f t="shared" si="17"/>
        <v>AL DÍA</v>
      </c>
      <c r="V95" s="21">
        <f>VLOOKUP(B95,'[3]Deal List'!$F$4:$Q$302,8,FALSE)</f>
        <v>2</v>
      </c>
      <c r="W95" s="22" t="str">
        <f>VLOOKUP(B95,'[3]Deal List'!$F$4:$Q$302,9,FALSE)</f>
        <v>APROBADA</v>
      </c>
      <c r="X95" s="23">
        <f>VLOOKUP(B95,'[3]Deal List'!$F$4:$Q$302,12,FALSE)</f>
        <v>0</v>
      </c>
    </row>
    <row r="96" spans="1:24" x14ac:dyDescent="0.3">
      <c r="A96" s="31" t="s">
        <v>103</v>
      </c>
      <c r="B96" s="27">
        <v>602</v>
      </c>
      <c r="C96" s="9" t="str">
        <f>VLOOKUP(B96,'[1]Matriz Precios A'!$B$3:$BN$301,2,FALSE)</f>
        <v>E10</v>
      </c>
      <c r="D96" s="10">
        <f>VLOOKUP(B96,'[1]Matriz Precios A'!$B$3:$BN$301,34,FALSE)</f>
        <v>1529194.3266091</v>
      </c>
      <c r="E96" s="11">
        <f>VLOOKUP(B96,'[1]Matriz Precios A'!$B$3:$BN$301,3,FALSE)</f>
        <v>72.510000000000005</v>
      </c>
      <c r="F96" s="11">
        <v>0</v>
      </c>
      <c r="G96" s="12">
        <f>VLOOKUP(B96,'[1]Matriz Precios A'!$B$3:$BP$301,7,FALSE)</f>
        <v>0</v>
      </c>
      <c r="H96" s="13">
        <f t="shared" si="9"/>
        <v>0</v>
      </c>
      <c r="I96" s="13">
        <f>VLOOKUP(B96,'[1]Matriz Precios A'!$B$3:$BP$301,8,FALSE)</f>
        <v>1</v>
      </c>
      <c r="J96" s="11">
        <f t="shared" si="10"/>
        <v>25</v>
      </c>
      <c r="K96" s="13">
        <f t="shared" si="11"/>
        <v>5.3</v>
      </c>
      <c r="L96" s="11">
        <f t="shared" si="12"/>
        <v>102.81</v>
      </c>
      <c r="M96" s="14">
        <f>$H$201</f>
        <v>15392.061955469506</v>
      </c>
      <c r="N96" s="14">
        <f t="shared" si="13"/>
        <v>1582500</v>
      </c>
      <c r="O96" s="14">
        <f t="shared" si="14"/>
        <v>53305.673390900018</v>
      </c>
      <c r="P96" s="15">
        <v>112800</v>
      </c>
      <c r="Q96" s="16">
        <f>VLOOKUP(B96,[2]Sheet1!$C$2:$D$299,2,FALSE)</f>
        <v>112800</v>
      </c>
      <c r="R96" s="17">
        <v>112800</v>
      </c>
      <c r="S96" s="17">
        <f t="shared" si="15"/>
        <v>0</v>
      </c>
      <c r="T96" s="43">
        <f t="shared" si="16"/>
        <v>0</v>
      </c>
      <c r="U96" s="20" t="str">
        <f t="shared" si="17"/>
        <v>AL DÍA</v>
      </c>
      <c r="V96" s="21">
        <f>VLOOKUP(B96,'[3]Deal List'!$F$4:$Q$302,8,FALSE)</f>
        <v>3</v>
      </c>
      <c r="W96" s="22" t="str">
        <f>VLOOKUP(B96,'[3]Deal List'!$F$4:$Q$302,9,FALSE)</f>
        <v>APROBADA</v>
      </c>
      <c r="X96" s="23">
        <f>VLOOKUP(B96,'[3]Deal List'!$F$4:$Q$302,12,FALSE)</f>
        <v>0</v>
      </c>
    </row>
    <row r="97" spans="1:24" x14ac:dyDescent="0.3">
      <c r="A97" s="29" t="s">
        <v>104</v>
      </c>
      <c r="B97" s="29">
        <v>610</v>
      </c>
      <c r="C97" s="9" t="str">
        <f>VLOOKUP(B97,'[1]Matriz Precios A'!$B$3:$BN$301,2,FALSE)</f>
        <v>C6</v>
      </c>
      <c r="D97" s="10">
        <f>VLOOKUP(B97,'[1]Matriz Precios A'!$B$3:$BN$301,34,FALSE)</f>
        <v>1183693</v>
      </c>
      <c r="E97" s="11">
        <f>VLOOKUP(B97,'[1]Matriz Precios A'!$B$3:$BN$301,3,FALSE)</f>
        <v>55</v>
      </c>
      <c r="F97" s="11">
        <v>0</v>
      </c>
      <c r="G97" s="12">
        <f>VLOOKUP(B97,'[1]Matriz Precios A'!$B$3:$BP$301,7,FALSE)</f>
        <v>0</v>
      </c>
      <c r="H97" s="13">
        <f t="shared" si="9"/>
        <v>0</v>
      </c>
      <c r="I97" s="13">
        <f>VLOOKUP(B97,'[1]Matriz Precios A'!$B$3:$BP$301,8,FALSE)</f>
        <v>1</v>
      </c>
      <c r="J97" s="11">
        <f t="shared" si="10"/>
        <v>25</v>
      </c>
      <c r="K97" s="13">
        <f t="shared" si="11"/>
        <v>5.3</v>
      </c>
      <c r="L97" s="11">
        <f t="shared" si="12"/>
        <v>85.3</v>
      </c>
      <c r="M97" s="14">
        <f>$H$199</f>
        <v>15826.494724501759</v>
      </c>
      <c r="N97" s="14">
        <f t="shared" si="13"/>
        <v>1350000</v>
      </c>
      <c r="O97" s="14">
        <f t="shared" si="14"/>
        <v>166307</v>
      </c>
      <c r="P97" s="15">
        <v>118393</v>
      </c>
      <c r="Q97" s="16">
        <f>VLOOKUP(B97,[2]Sheet1!$C$2:$D$299,2,FALSE)</f>
        <v>118393</v>
      </c>
      <c r="R97" s="17">
        <v>118393</v>
      </c>
      <c r="S97" s="17">
        <f t="shared" si="15"/>
        <v>0</v>
      </c>
      <c r="T97" s="43">
        <f t="shared" si="16"/>
        <v>0</v>
      </c>
      <c r="U97" s="20" t="str">
        <f t="shared" si="17"/>
        <v>AL DÍA</v>
      </c>
      <c r="V97" s="21">
        <f>VLOOKUP(B97,'[3]Deal List'!$F$4:$Q$302,8,FALSE)</f>
        <v>2</v>
      </c>
      <c r="W97" s="22" t="str">
        <f>VLOOKUP(B97,'[3]Deal List'!$F$4:$Q$302,9,FALSE)</f>
        <v>APROBADA</v>
      </c>
      <c r="X97" s="23">
        <f>VLOOKUP(B97,'[3]Deal List'!$F$4:$Q$302,12,FALSE)</f>
        <v>0</v>
      </c>
    </row>
    <row r="98" spans="1:24" x14ac:dyDescent="0.3">
      <c r="A98" s="22" t="s">
        <v>105</v>
      </c>
      <c r="B98" s="9">
        <v>702</v>
      </c>
      <c r="C98" s="9" t="str">
        <f>VLOOKUP(B98,'[1]Matriz Precios A'!$B$3:$BN$301,2,FALSE)</f>
        <v>E10</v>
      </c>
      <c r="D98" s="10">
        <f>VLOOKUP(B98,'[1]Matriz Precios A'!$B$3:$BN$301,34,FALSE)</f>
        <v>1343800</v>
      </c>
      <c r="E98" s="11">
        <f>VLOOKUP(B98,'[1]Matriz Precios A'!$B$3:$BN$301,3,FALSE)</f>
        <v>72.510000000000005</v>
      </c>
      <c r="F98" s="11">
        <v>0</v>
      </c>
      <c r="G98" s="12">
        <f>VLOOKUP(B98,'[1]Matriz Precios A'!$B$3:$BP$301,7,FALSE)</f>
        <v>0</v>
      </c>
      <c r="H98" s="13">
        <f t="shared" si="9"/>
        <v>0</v>
      </c>
      <c r="I98" s="13">
        <f>VLOOKUP(B98,'[1]Matriz Precios A'!$B$3:$BP$301,8,FALSE)</f>
        <v>1</v>
      </c>
      <c r="J98" s="11">
        <f t="shared" si="10"/>
        <v>25</v>
      </c>
      <c r="K98" s="13">
        <f t="shared" si="11"/>
        <v>5.3</v>
      </c>
      <c r="L98" s="11">
        <f t="shared" si="12"/>
        <v>102.81</v>
      </c>
      <c r="M98" s="14">
        <f>$H$201</f>
        <v>15392.061955469506</v>
      </c>
      <c r="N98" s="14">
        <f t="shared" si="13"/>
        <v>1582500</v>
      </c>
      <c r="O98" s="14">
        <f t="shared" si="14"/>
        <v>238700</v>
      </c>
      <c r="P98" s="16">
        <v>134400</v>
      </c>
      <c r="Q98" s="16">
        <f>VLOOKUP(B98,[2]Sheet1!$C$2:$D$299,2,FALSE)</f>
        <v>134400</v>
      </c>
      <c r="R98" s="17">
        <v>134400</v>
      </c>
      <c r="S98" s="17">
        <f t="shared" si="15"/>
        <v>0</v>
      </c>
      <c r="T98" s="43">
        <f t="shared" si="16"/>
        <v>0</v>
      </c>
      <c r="U98" s="20" t="str">
        <f t="shared" si="17"/>
        <v>AL DÍA</v>
      </c>
      <c r="V98" s="21">
        <f>VLOOKUP(B98,'[3]Deal List'!$F$4:$Q$302,8,FALSE)</f>
        <v>1</v>
      </c>
      <c r="W98" s="22" t="str">
        <f>VLOOKUP(B98,'[3]Deal List'!$F$4:$Q$302,9,FALSE)</f>
        <v>DENEGADA</v>
      </c>
      <c r="X98" s="23" t="str">
        <f>VLOOKUP(B98,'[3]Deal List'!$F$4:$Q$302,12,FALSE)</f>
        <v>Cliente posee RCI del 55%, se sugieres incrementar ingresos o adicionar un segundo deudor.</v>
      </c>
    </row>
    <row r="99" spans="1:24" x14ac:dyDescent="0.3">
      <c r="A99" s="9" t="s">
        <v>106</v>
      </c>
      <c r="B99" s="9">
        <v>712</v>
      </c>
      <c r="C99" s="9" t="str">
        <f>VLOOKUP(B99,'[1]Matriz Precios A'!$B$3:$BN$301,2,FALSE)</f>
        <v>A8</v>
      </c>
      <c r="D99" s="10">
        <f>VLOOKUP(B99,'[1]Matriz Precios A'!$B$3:$BN$301,34,FALSE)</f>
        <v>703500</v>
      </c>
      <c r="E99" s="11">
        <f>VLOOKUP(B99,'[1]Matriz Precios A'!$B$3:$BN$301,3,FALSE)</f>
        <v>35.94</v>
      </c>
      <c r="F99" s="11">
        <v>0</v>
      </c>
      <c r="G99" s="12">
        <f>VLOOKUP(B99,'[1]Matriz Precios A'!$B$3:$BP$301,7,FALSE)</f>
        <v>1</v>
      </c>
      <c r="H99" s="13">
        <f t="shared" si="9"/>
        <v>12.5</v>
      </c>
      <c r="I99" s="13">
        <f>VLOOKUP(B99,'[1]Matriz Precios A'!$B$3:$BP$301,8,FALSE)</f>
        <v>0</v>
      </c>
      <c r="J99" s="11">
        <f t="shared" si="10"/>
        <v>0</v>
      </c>
      <c r="K99" s="13">
        <f t="shared" si="11"/>
        <v>0</v>
      </c>
      <c r="L99" s="11">
        <f t="shared" si="12"/>
        <v>48.44</v>
      </c>
      <c r="M99" s="14">
        <f>$H$195</f>
        <v>18865.9793814433</v>
      </c>
      <c r="N99" s="14">
        <f t="shared" si="13"/>
        <v>913900</v>
      </c>
      <c r="O99" s="14">
        <f t="shared" si="14"/>
        <v>210400</v>
      </c>
      <c r="P99" s="16">
        <v>70400</v>
      </c>
      <c r="Q99" s="16">
        <f>VLOOKUP(B99,[2]Sheet1!$C$2:$D$299,2,FALSE)</f>
        <v>70400</v>
      </c>
      <c r="R99" s="17">
        <v>70400</v>
      </c>
      <c r="S99" s="17">
        <f t="shared" si="15"/>
        <v>0</v>
      </c>
      <c r="T99" s="43">
        <f t="shared" si="16"/>
        <v>0</v>
      </c>
      <c r="U99" s="20" t="str">
        <f t="shared" si="17"/>
        <v>AL DÍA</v>
      </c>
      <c r="V99" s="21">
        <f>VLOOKUP(B99,'[3]Deal List'!$F$4:$Q$302,8,FALSE)</f>
        <v>1</v>
      </c>
      <c r="W99" s="22" t="str">
        <f>VLOOKUP(B99,'[3]Deal List'!$F$4:$Q$302,9,FALSE)</f>
        <v>APROBADA</v>
      </c>
      <c r="X99" s="23">
        <f>VLOOKUP(B99,'[3]Deal List'!$F$4:$Q$302,12,FALSE)</f>
        <v>0</v>
      </c>
    </row>
    <row r="100" spans="1:24" x14ac:dyDescent="0.3">
      <c r="A100" s="28" t="s">
        <v>107</v>
      </c>
      <c r="B100" s="28">
        <v>801</v>
      </c>
      <c r="C100" s="9" t="str">
        <f>VLOOKUP(B100,'[1]Matriz Precios A'!$B$3:$BN$301,2,FALSE)</f>
        <v>C4</v>
      </c>
      <c r="D100" s="10">
        <f>VLOOKUP(B100,'[1]Matriz Precios A'!$B$3:$BN$301,34,FALSE)</f>
        <v>1152000</v>
      </c>
      <c r="E100" s="11">
        <f>VLOOKUP(B100,'[1]Matriz Precios A'!$B$3:$BN$301,3,FALSE)</f>
        <v>54.09</v>
      </c>
      <c r="F100" s="11">
        <v>0</v>
      </c>
      <c r="G100" s="12">
        <f>VLOOKUP(B100,'[1]Matriz Precios A'!$B$3:$BP$301,7,FALSE)</f>
        <v>0</v>
      </c>
      <c r="H100" s="13">
        <f t="shared" si="9"/>
        <v>0</v>
      </c>
      <c r="I100" s="13">
        <f>VLOOKUP(B100,'[1]Matriz Precios A'!$B$3:$BP$301,8,FALSE)</f>
        <v>1</v>
      </c>
      <c r="J100" s="11">
        <f t="shared" si="10"/>
        <v>25</v>
      </c>
      <c r="K100" s="13">
        <f t="shared" si="11"/>
        <v>5.3</v>
      </c>
      <c r="L100" s="11">
        <f t="shared" si="12"/>
        <v>84.39</v>
      </c>
      <c r="M100" s="14">
        <f>$H$199</f>
        <v>15826.494724501759</v>
      </c>
      <c r="N100" s="14">
        <f t="shared" si="13"/>
        <v>1335600</v>
      </c>
      <c r="O100" s="14">
        <f t="shared" si="14"/>
        <v>183600</v>
      </c>
      <c r="P100" s="16">
        <v>115200</v>
      </c>
      <c r="Q100" s="16">
        <f>VLOOKUP(B100,[2]Sheet1!$C$2:$D$299,2,FALSE)</f>
        <v>115200</v>
      </c>
      <c r="R100" s="17">
        <v>115200</v>
      </c>
      <c r="S100" s="17">
        <f t="shared" si="15"/>
        <v>0</v>
      </c>
      <c r="T100" s="43">
        <f t="shared" si="16"/>
        <v>0</v>
      </c>
      <c r="U100" s="20" t="str">
        <f t="shared" si="17"/>
        <v>AL DÍA</v>
      </c>
      <c r="V100" s="21">
        <f>VLOOKUP(B100,'[3]Deal List'!$F$4:$Q$302,8,FALSE)</f>
        <v>2</v>
      </c>
      <c r="W100" s="22" t="str">
        <f>VLOOKUP(B100,'[3]Deal List'!$F$4:$Q$302,9,FALSE)</f>
        <v>APROBADA</v>
      </c>
      <c r="X100" s="23">
        <f>VLOOKUP(B100,'[3]Deal List'!$F$4:$Q$302,12,FALSE)</f>
        <v>0</v>
      </c>
    </row>
    <row r="101" spans="1:24" x14ac:dyDescent="0.3">
      <c r="A101" s="29" t="s">
        <v>108</v>
      </c>
      <c r="B101" s="29">
        <v>806</v>
      </c>
      <c r="C101" s="9" t="str">
        <f>VLOOKUP(B101,'[1]Matriz Precios A'!$B$3:$BN$301,2,FALSE)</f>
        <v>B8</v>
      </c>
      <c r="D101" s="10">
        <f>VLOOKUP(B101,'[1]Matriz Precios A'!$B$3:$BN$301,34,FALSE)</f>
        <v>1084565</v>
      </c>
      <c r="E101" s="11">
        <f>VLOOKUP(B101,'[1]Matriz Precios A'!$B$3:$BN$301,3,FALSE)</f>
        <v>52.64</v>
      </c>
      <c r="F101" s="11">
        <v>0</v>
      </c>
      <c r="G101" s="12">
        <f>VLOOKUP(B101,'[1]Matriz Precios A'!$B$3:$BP$301,7,FALSE)</f>
        <v>1</v>
      </c>
      <c r="H101" s="13">
        <f t="shared" si="9"/>
        <v>12.5</v>
      </c>
      <c r="I101" s="13">
        <f>VLOOKUP(B101,'[1]Matriz Precios A'!$B$3:$BP$301,8,FALSE)</f>
        <v>0</v>
      </c>
      <c r="J101" s="11">
        <f t="shared" si="10"/>
        <v>0</v>
      </c>
      <c r="K101" s="13">
        <f t="shared" si="11"/>
        <v>0</v>
      </c>
      <c r="L101" s="11">
        <f t="shared" si="12"/>
        <v>65.14</v>
      </c>
      <c r="M101" s="14">
        <f>$H$196</f>
        <v>16800</v>
      </c>
      <c r="N101" s="14">
        <f t="shared" si="13"/>
        <v>1094400</v>
      </c>
      <c r="O101" s="14">
        <f t="shared" si="14"/>
        <v>9835</v>
      </c>
      <c r="P101" s="15">
        <v>108465</v>
      </c>
      <c r="Q101" s="16">
        <f>VLOOKUP(B101,[2]Sheet1!$C$2:$D$299,2,FALSE)</f>
        <v>108465</v>
      </c>
      <c r="R101" s="17">
        <v>108465</v>
      </c>
      <c r="S101" s="17">
        <f t="shared" si="15"/>
        <v>0</v>
      </c>
      <c r="T101" s="43">
        <f t="shared" si="16"/>
        <v>0</v>
      </c>
      <c r="U101" s="20" t="str">
        <f t="shared" si="17"/>
        <v>AL DÍA</v>
      </c>
      <c r="V101" s="21">
        <f>VLOOKUP(B101,'[3]Deal List'!$F$4:$Q$302,8,FALSE)</f>
        <v>2</v>
      </c>
      <c r="W101" s="22" t="str">
        <f>VLOOKUP(B101,'[3]Deal List'!$F$4:$Q$302,9,FALSE)</f>
        <v>DENEGADA</v>
      </c>
      <c r="X101" s="23" t="str">
        <f>VLOOKUP(B101,'[3]Deal List'!$F$4:$Q$302,12,FALSE)</f>
        <v>Cliente posee un RCI del 51% (Presentar desistimientos de jucios Municipalidad de San Miguel Petapa), verificar si tiene ingresos extras.</v>
      </c>
    </row>
    <row r="102" spans="1:24" x14ac:dyDescent="0.3">
      <c r="A102" s="29" t="s">
        <v>109</v>
      </c>
      <c r="B102" s="27">
        <v>808</v>
      </c>
      <c r="C102" s="9" t="str">
        <f>VLOOKUP(B102,'[1]Matriz Precios A'!$B$3:$BN$301,2,FALSE)</f>
        <v>B3</v>
      </c>
      <c r="D102" s="10">
        <f>VLOOKUP(B102,'[1]Matriz Precios A'!$B$3:$BN$301,34,FALSE)</f>
        <v>887400</v>
      </c>
      <c r="E102" s="11">
        <f>VLOOKUP(B102,'[1]Matriz Precios A'!$B$3:$BN$301,3,FALSE)</f>
        <v>48.96</v>
      </c>
      <c r="F102" s="11">
        <v>0</v>
      </c>
      <c r="G102" s="12">
        <f>VLOOKUP(B102,'[1]Matriz Precios A'!$B$3:$BP$301,7,FALSE)</f>
        <v>1</v>
      </c>
      <c r="H102" s="13">
        <f t="shared" si="9"/>
        <v>12.5</v>
      </c>
      <c r="I102" s="13">
        <f>VLOOKUP(B102,'[1]Matriz Precios A'!$B$3:$BP$301,8,FALSE)</f>
        <v>0</v>
      </c>
      <c r="J102" s="11">
        <f t="shared" si="10"/>
        <v>0</v>
      </c>
      <c r="K102" s="13">
        <f t="shared" si="11"/>
        <v>0</v>
      </c>
      <c r="L102" s="11">
        <f t="shared" si="12"/>
        <v>61.46</v>
      </c>
      <c r="M102" s="14">
        <f>$H$196</f>
        <v>16800</v>
      </c>
      <c r="N102" s="14">
        <f t="shared" si="13"/>
        <v>1032600</v>
      </c>
      <c r="O102" s="14">
        <f t="shared" si="14"/>
        <v>145200</v>
      </c>
      <c r="P102" s="15">
        <v>88800</v>
      </c>
      <c r="Q102" s="16">
        <f>VLOOKUP(B102,[2]Sheet1!$C$2:$D$299,2,FALSE)</f>
        <v>88800</v>
      </c>
      <c r="R102" s="17">
        <v>88800</v>
      </c>
      <c r="S102" s="17">
        <f t="shared" si="15"/>
        <v>0</v>
      </c>
      <c r="T102" s="43">
        <f t="shared" si="16"/>
        <v>0</v>
      </c>
      <c r="U102" s="20" t="str">
        <f t="shared" si="17"/>
        <v>AL DÍA</v>
      </c>
      <c r="V102" s="21">
        <f>VLOOKUP(B102,'[3]Deal List'!$F$4:$Q$302,8,FALSE)</f>
        <v>2</v>
      </c>
      <c r="W102" s="22" t="str">
        <f>VLOOKUP(B102,'[3]Deal List'!$F$4:$Q$302,9,FALSE)</f>
        <v>APROBADA</v>
      </c>
      <c r="X102" s="23">
        <f>VLOOKUP(B102,'[3]Deal List'!$F$4:$Q$302,12,FALSE)</f>
        <v>0</v>
      </c>
    </row>
    <row r="103" spans="1:24" x14ac:dyDescent="0.3">
      <c r="A103" s="29" t="s">
        <v>110</v>
      </c>
      <c r="B103" s="29">
        <v>811</v>
      </c>
      <c r="C103" s="9" t="str">
        <f>VLOOKUP(B103,'[1]Matriz Precios A'!$B$3:$BN$301,2,FALSE)</f>
        <v>B7</v>
      </c>
      <c r="D103" s="10">
        <f>VLOOKUP(B103,'[1]Matriz Precios A'!$B$3:$BN$301,34,FALSE)</f>
        <v>864446.02</v>
      </c>
      <c r="E103" s="11">
        <f>VLOOKUP(B103,'[1]Matriz Precios A'!$B$3:$BN$301,3,FALSE)</f>
        <v>53.1</v>
      </c>
      <c r="F103" s="11">
        <v>0</v>
      </c>
      <c r="G103" s="12">
        <f>VLOOKUP(B103,'[1]Matriz Precios A'!$B$3:$BP$301,7,FALSE)</f>
        <v>1</v>
      </c>
      <c r="H103" s="13">
        <f t="shared" si="9"/>
        <v>12.5</v>
      </c>
      <c r="I103" s="13">
        <f>VLOOKUP(B103,'[1]Matriz Precios A'!$B$3:$BP$301,8,FALSE)</f>
        <v>0</v>
      </c>
      <c r="J103" s="11">
        <f t="shared" si="10"/>
        <v>0</v>
      </c>
      <c r="K103" s="13">
        <f t="shared" si="11"/>
        <v>0</v>
      </c>
      <c r="L103" s="11">
        <f t="shared" si="12"/>
        <v>65.599999999999994</v>
      </c>
      <c r="M103" s="14">
        <f>$H$196</f>
        <v>16800</v>
      </c>
      <c r="N103" s="14">
        <f t="shared" si="13"/>
        <v>1102100</v>
      </c>
      <c r="O103" s="14">
        <f t="shared" si="14"/>
        <v>237653.97999999998</v>
      </c>
      <c r="P103" s="15">
        <v>864446.02</v>
      </c>
      <c r="Q103" s="16">
        <f>VLOOKUP(B103,[2]Sheet1!$C$2:$D$299,2,FALSE)</f>
        <v>864446.02</v>
      </c>
      <c r="R103" s="17">
        <v>864446.02</v>
      </c>
      <c r="S103" s="17">
        <f t="shared" si="15"/>
        <v>0</v>
      </c>
      <c r="T103" s="43">
        <f t="shared" si="16"/>
        <v>0</v>
      </c>
      <c r="U103" s="20" t="str">
        <f t="shared" si="17"/>
        <v>AL DÍA</v>
      </c>
      <c r="V103" s="21">
        <f>VLOOKUP(B103,'[3]Deal List'!$F$4:$Q$302,8,FALSE)</f>
        <v>2</v>
      </c>
      <c r="W103" s="22" t="str">
        <f>VLOOKUP(B103,'[3]Deal List'!$F$4:$Q$302,9,FALSE)</f>
        <v>APROBADA</v>
      </c>
      <c r="X103" s="23">
        <f>VLOOKUP(B103,'[3]Deal List'!$F$4:$Q$302,12,FALSE)</f>
        <v>0</v>
      </c>
    </row>
    <row r="104" spans="1:24" x14ac:dyDescent="0.3">
      <c r="A104" s="9" t="s">
        <v>111</v>
      </c>
      <c r="B104" s="9">
        <v>816</v>
      </c>
      <c r="C104" s="9" t="str">
        <f>VLOOKUP(B104,'[1]Matriz Precios A'!$B$3:$BN$301,2,FALSE)</f>
        <v>A2</v>
      </c>
      <c r="D104" s="10">
        <f>VLOOKUP(B104,'[1]Matriz Precios A'!$B$3:$BN$301,34,FALSE)</f>
        <v>651600</v>
      </c>
      <c r="E104" s="11">
        <f>VLOOKUP(B104,'[1]Matriz Precios A'!$B$3:$BN$301,3,FALSE)</f>
        <v>34.9</v>
      </c>
      <c r="F104" s="11">
        <v>0</v>
      </c>
      <c r="G104" s="12">
        <f>VLOOKUP(B104,'[1]Matriz Precios A'!$B$3:$BP$301,7,FALSE)</f>
        <v>1</v>
      </c>
      <c r="H104" s="13">
        <f t="shared" si="9"/>
        <v>12.5</v>
      </c>
      <c r="I104" s="13">
        <f>VLOOKUP(B104,'[1]Matriz Precios A'!$B$3:$BP$301,8,FALSE)</f>
        <v>0</v>
      </c>
      <c r="J104" s="11">
        <f t="shared" si="10"/>
        <v>0</v>
      </c>
      <c r="K104" s="13">
        <f t="shared" si="11"/>
        <v>0</v>
      </c>
      <c r="L104" s="11">
        <f t="shared" si="12"/>
        <v>47.4</v>
      </c>
      <c r="M104" s="14">
        <f>$H$195</f>
        <v>18865.9793814433</v>
      </c>
      <c r="N104" s="14">
        <f t="shared" si="13"/>
        <v>894300</v>
      </c>
      <c r="O104" s="14">
        <f t="shared" si="14"/>
        <v>242700</v>
      </c>
      <c r="P104" s="16">
        <v>65200</v>
      </c>
      <c r="Q104" s="16">
        <f>VLOOKUP(B104,[2]Sheet1!$C$2:$D$299,2,FALSE)</f>
        <v>65200</v>
      </c>
      <c r="R104" s="17">
        <v>65200</v>
      </c>
      <c r="S104" s="17">
        <f t="shared" si="15"/>
        <v>0</v>
      </c>
      <c r="T104" s="43">
        <f t="shared" si="16"/>
        <v>0</v>
      </c>
      <c r="U104" s="20" t="str">
        <f t="shared" si="17"/>
        <v>AL DÍA</v>
      </c>
      <c r="V104" s="21">
        <f>VLOOKUP(B104,'[3]Deal List'!$F$4:$Q$302,8,FALSE)</f>
        <v>1</v>
      </c>
      <c r="W104" s="22" t="str">
        <f>VLOOKUP(B104,'[3]Deal List'!$F$4:$Q$302,9,FALSE)</f>
        <v>APROBADA</v>
      </c>
      <c r="X104" s="23">
        <f>VLOOKUP(B104,'[3]Deal List'!$F$4:$Q$302,12,FALSE)</f>
        <v>0</v>
      </c>
    </row>
    <row r="105" spans="1:24" x14ac:dyDescent="0.3">
      <c r="A105" s="44" t="s">
        <v>112</v>
      </c>
      <c r="B105" s="29">
        <v>820</v>
      </c>
      <c r="C105" s="9" t="str">
        <f>VLOOKUP(B105,'[1]Matriz Precios A'!$B$3:$BN$301,2,FALSE)</f>
        <v>C2</v>
      </c>
      <c r="D105" s="10">
        <f>VLOOKUP(B105,'[1]Matriz Precios A'!$B$3:$BN$301,34,FALSE)</f>
        <v>990132.5</v>
      </c>
      <c r="E105" s="11">
        <f>VLOOKUP(B105,'[1]Matriz Precios A'!$B$3:$BN$301,3,FALSE)</f>
        <v>54.73</v>
      </c>
      <c r="F105" s="11">
        <v>0</v>
      </c>
      <c r="G105" s="12">
        <f>VLOOKUP(B105,'[1]Matriz Precios A'!$B$3:$BP$301,7,FALSE)</f>
        <v>1</v>
      </c>
      <c r="H105" s="13">
        <f t="shared" si="9"/>
        <v>12.5</v>
      </c>
      <c r="I105" s="13">
        <f>VLOOKUP(B105,'[1]Matriz Precios A'!$B$3:$BP$301,8,FALSE)</f>
        <v>0</v>
      </c>
      <c r="J105" s="11">
        <f t="shared" si="10"/>
        <v>0</v>
      </c>
      <c r="K105" s="13">
        <f t="shared" si="11"/>
        <v>0</v>
      </c>
      <c r="L105" s="11">
        <f t="shared" si="12"/>
        <v>67.22999999999999</v>
      </c>
      <c r="M105" s="14">
        <f>$H$198</f>
        <v>16888.888888888891</v>
      </c>
      <c r="N105" s="14">
        <f t="shared" si="13"/>
        <v>1135500</v>
      </c>
      <c r="O105" s="14">
        <f t="shared" si="14"/>
        <v>145367.5</v>
      </c>
      <c r="P105" s="15">
        <v>99132.5</v>
      </c>
      <c r="Q105" s="16">
        <f>VLOOKUP(B105,[2]Sheet1!$C$2:$D$299,2,FALSE)</f>
        <v>99132.5</v>
      </c>
      <c r="R105" s="17">
        <v>99132.5</v>
      </c>
      <c r="S105" s="17">
        <f t="shared" si="15"/>
        <v>0</v>
      </c>
      <c r="T105" s="43">
        <f t="shared" si="16"/>
        <v>0</v>
      </c>
      <c r="U105" s="20" t="str">
        <f t="shared" si="17"/>
        <v>AL DÍA</v>
      </c>
      <c r="V105" s="21">
        <f>VLOOKUP(B105,'[3]Deal List'!$F$4:$Q$302,8,FALSE)</f>
        <v>4</v>
      </c>
      <c r="W105" s="22" t="str">
        <f>VLOOKUP(B105,'[3]Deal List'!$F$4:$Q$302,9,FALSE)</f>
        <v>APROBADA</v>
      </c>
      <c r="X105" s="23">
        <f>VLOOKUP(B105,'[3]Deal List'!$F$4:$Q$302,12,FALSE)</f>
        <v>0</v>
      </c>
    </row>
    <row r="106" spans="1:24" x14ac:dyDescent="0.3">
      <c r="A106" s="29" t="s">
        <v>113</v>
      </c>
      <c r="B106" s="27">
        <v>908</v>
      </c>
      <c r="C106" s="9" t="str">
        <f>VLOOKUP(B106,'[1]Matriz Precios A'!$B$3:$BN$301,2,FALSE)</f>
        <v>B3</v>
      </c>
      <c r="D106" s="10">
        <f>VLOOKUP(B106,'[1]Matriz Precios A'!$B$3:$BN$301,34,FALSE)</f>
        <v>887400</v>
      </c>
      <c r="E106" s="11">
        <f>VLOOKUP(B106,'[1]Matriz Precios A'!$B$3:$BN$301,3,FALSE)</f>
        <v>48.96</v>
      </c>
      <c r="F106" s="11">
        <v>0</v>
      </c>
      <c r="G106" s="12">
        <f>VLOOKUP(B106,'[1]Matriz Precios A'!$B$3:$BP$301,7,FALSE)</f>
        <v>1</v>
      </c>
      <c r="H106" s="13">
        <f t="shared" si="9"/>
        <v>12.5</v>
      </c>
      <c r="I106" s="13">
        <f>VLOOKUP(B106,'[1]Matriz Precios A'!$B$3:$BP$301,8,FALSE)</f>
        <v>0</v>
      </c>
      <c r="J106" s="11">
        <f t="shared" si="10"/>
        <v>0</v>
      </c>
      <c r="K106" s="13">
        <f t="shared" si="11"/>
        <v>0</v>
      </c>
      <c r="L106" s="11">
        <f t="shared" si="12"/>
        <v>61.46</v>
      </c>
      <c r="M106" s="14">
        <f>$H$196</f>
        <v>16800</v>
      </c>
      <c r="N106" s="14">
        <f t="shared" si="13"/>
        <v>1032600</v>
      </c>
      <c r="O106" s="14">
        <f t="shared" si="14"/>
        <v>145200</v>
      </c>
      <c r="P106" s="15">
        <v>88800</v>
      </c>
      <c r="Q106" s="16">
        <f>VLOOKUP(B106,[2]Sheet1!$C$2:$D$299,2,FALSE)</f>
        <v>88800</v>
      </c>
      <c r="R106" s="17">
        <v>88800</v>
      </c>
      <c r="S106" s="17">
        <f t="shared" si="15"/>
        <v>0</v>
      </c>
      <c r="T106" s="43">
        <f t="shared" si="16"/>
        <v>0</v>
      </c>
      <c r="U106" s="20" t="str">
        <f t="shared" si="17"/>
        <v>AL DÍA</v>
      </c>
      <c r="V106" s="21">
        <f>VLOOKUP(B106,'[3]Deal List'!$F$4:$Q$302,8,FALSE)</f>
        <v>2</v>
      </c>
      <c r="W106" s="22" t="str">
        <f>VLOOKUP(B106,'[3]Deal List'!$F$4:$Q$302,9,FALSE)</f>
        <v>DENEGADA</v>
      </c>
      <c r="X106" s="23" t="str">
        <f>VLOOKUP(B106,'[3]Deal List'!$F$4:$Q$302,12,FALSE)</f>
        <v>Cliente posee un RCI superior al 100% (TCs por Q528 mil)</v>
      </c>
    </row>
    <row r="107" spans="1:24" x14ac:dyDescent="0.3">
      <c r="A107" s="9" t="s">
        <v>114</v>
      </c>
      <c r="B107" s="9">
        <v>909</v>
      </c>
      <c r="C107" s="9" t="str">
        <f>VLOOKUP(B107,'[1]Matriz Precios A'!$B$3:$BN$301,2,FALSE)</f>
        <v>E8</v>
      </c>
      <c r="D107" s="10">
        <f>VLOOKUP(B107,'[1]Matriz Precios A'!$B$3:$BN$301,34,FALSE)</f>
        <v>1382700</v>
      </c>
      <c r="E107" s="11">
        <f>VLOOKUP(B107,'[1]Matriz Precios A'!$B$3:$BN$301,3,FALSE)</f>
        <v>74.260000000000005</v>
      </c>
      <c r="F107" s="11">
        <v>0</v>
      </c>
      <c r="G107" s="12">
        <f>VLOOKUP(B107,'[1]Matriz Precios A'!$B$3:$BP$301,7,FALSE)</f>
        <v>0</v>
      </c>
      <c r="H107" s="13">
        <f t="shared" si="9"/>
        <v>0</v>
      </c>
      <c r="I107" s="13">
        <f>VLOOKUP(B107,'[1]Matriz Precios A'!$B$3:$BP$301,8,FALSE)</f>
        <v>1</v>
      </c>
      <c r="J107" s="11">
        <f t="shared" si="10"/>
        <v>25</v>
      </c>
      <c r="K107" s="13">
        <f t="shared" si="11"/>
        <v>5.3</v>
      </c>
      <c r="L107" s="11">
        <f t="shared" si="12"/>
        <v>104.56</v>
      </c>
      <c r="M107" s="14">
        <f>$H$201</f>
        <v>15392.061955469506</v>
      </c>
      <c r="N107" s="14">
        <f t="shared" si="13"/>
        <v>1609400</v>
      </c>
      <c r="O107" s="14">
        <f t="shared" si="14"/>
        <v>226700</v>
      </c>
      <c r="P107" s="16">
        <v>138300</v>
      </c>
      <c r="Q107" s="16">
        <f>VLOOKUP(B107,[2]Sheet1!$C$2:$D$299,2,FALSE)</f>
        <v>138300</v>
      </c>
      <c r="R107" s="17">
        <v>138300</v>
      </c>
      <c r="S107" s="17">
        <f t="shared" si="15"/>
        <v>0</v>
      </c>
      <c r="T107" s="43">
        <f t="shared" si="16"/>
        <v>0</v>
      </c>
      <c r="U107" s="20" t="str">
        <f t="shared" si="17"/>
        <v>AL DÍA</v>
      </c>
      <c r="V107" s="21">
        <f>VLOOKUP(B107,'[3]Deal List'!$F$4:$Q$302,8,FALSE)</f>
        <v>1</v>
      </c>
      <c r="W107" s="22" t="str">
        <f>VLOOKUP(B107,'[3]Deal List'!$F$4:$Q$302,9,FALSE)</f>
        <v>DENEGADA</v>
      </c>
      <c r="X107" s="23" t="str">
        <f>VLOOKUP(B107,'[3]Deal List'!$F$4:$Q$302,12,FALSE)</f>
        <v>Cliente no posee NIT (Guatemalteco en el Extranjero)</v>
      </c>
    </row>
    <row r="108" spans="1:24" x14ac:dyDescent="0.3">
      <c r="A108" s="9" t="s">
        <v>115</v>
      </c>
      <c r="B108" s="9">
        <v>917</v>
      </c>
      <c r="C108" s="9" t="str">
        <f>VLOOKUP(B108,'[1]Matriz Precios A'!$B$3:$BN$301,2,FALSE)</f>
        <v>A6</v>
      </c>
      <c r="D108" s="10">
        <f>VLOOKUP(B108,'[1]Matriz Precios A'!$B$3:$BN$301,34,FALSE)</f>
        <v>699700</v>
      </c>
      <c r="E108" s="11">
        <f>VLOOKUP(B108,'[1]Matriz Precios A'!$B$3:$BN$301,3,FALSE)</f>
        <v>35.69</v>
      </c>
      <c r="F108" s="11">
        <v>0</v>
      </c>
      <c r="G108" s="12">
        <f>VLOOKUP(B108,'[1]Matriz Precios A'!$B$3:$BP$301,7,FALSE)</f>
        <v>1</v>
      </c>
      <c r="H108" s="13">
        <f t="shared" si="9"/>
        <v>12.5</v>
      </c>
      <c r="I108" s="13">
        <f>VLOOKUP(B108,'[1]Matriz Precios A'!$B$3:$BP$301,8,FALSE)</f>
        <v>0</v>
      </c>
      <c r="J108" s="11">
        <f t="shared" si="10"/>
        <v>0</v>
      </c>
      <c r="K108" s="13">
        <f t="shared" si="11"/>
        <v>0</v>
      </c>
      <c r="L108" s="11">
        <f t="shared" si="12"/>
        <v>48.19</v>
      </c>
      <c r="M108" s="14">
        <f>$H$195</f>
        <v>18865.9793814433</v>
      </c>
      <c r="N108" s="14">
        <f t="shared" si="13"/>
        <v>909200</v>
      </c>
      <c r="O108" s="14">
        <f t="shared" si="14"/>
        <v>209500</v>
      </c>
      <c r="P108" s="16">
        <v>70000</v>
      </c>
      <c r="Q108" s="16">
        <f>VLOOKUP(B108,[2]Sheet1!$C$2:$D$299,2,FALSE)</f>
        <v>70000</v>
      </c>
      <c r="R108" s="17">
        <v>70000</v>
      </c>
      <c r="S108" s="17">
        <f t="shared" si="15"/>
        <v>0</v>
      </c>
      <c r="T108" s="43">
        <f t="shared" si="16"/>
        <v>0</v>
      </c>
      <c r="U108" s="20" t="str">
        <f t="shared" si="17"/>
        <v>AL DÍA</v>
      </c>
      <c r="V108" s="21">
        <f>VLOOKUP(B108,'[3]Deal List'!$F$4:$Q$302,8,FALSE)</f>
        <v>1</v>
      </c>
      <c r="W108" s="22" t="str">
        <f>VLOOKUP(B108,'[3]Deal List'!$F$4:$Q$302,9,FALSE)</f>
        <v>APROBADA</v>
      </c>
      <c r="X108" s="23">
        <f>VLOOKUP(B108,'[3]Deal List'!$F$4:$Q$302,12,FALSE)</f>
        <v>0</v>
      </c>
    </row>
    <row r="109" spans="1:24" x14ac:dyDescent="0.3">
      <c r="A109" s="9" t="s">
        <v>116</v>
      </c>
      <c r="B109" s="9">
        <v>1007</v>
      </c>
      <c r="C109" s="9" t="str">
        <f>VLOOKUP(B109,'[1]Matriz Precios A'!$B$3:$BN$301,2,FALSE)</f>
        <v>B4</v>
      </c>
      <c r="D109" s="10">
        <f>VLOOKUP(B109,'[1]Matriz Precios A'!$B$3:$BN$301,34,FALSE)</f>
        <v>901400</v>
      </c>
      <c r="E109" s="11">
        <f>VLOOKUP(B109,'[1]Matriz Precios A'!$B$3:$BN$301,3,FALSE)</f>
        <v>49.77</v>
      </c>
      <c r="F109" s="11">
        <v>0</v>
      </c>
      <c r="G109" s="12">
        <f>VLOOKUP(B109,'[1]Matriz Precios A'!$B$3:$BP$301,7,FALSE)</f>
        <v>1</v>
      </c>
      <c r="H109" s="13">
        <f t="shared" si="9"/>
        <v>12.5</v>
      </c>
      <c r="I109" s="13">
        <f>VLOOKUP(B109,'[1]Matriz Precios A'!$B$3:$BP$301,8,FALSE)</f>
        <v>0</v>
      </c>
      <c r="J109" s="11">
        <f t="shared" si="10"/>
        <v>0</v>
      </c>
      <c r="K109" s="13">
        <f t="shared" si="11"/>
        <v>0</v>
      </c>
      <c r="L109" s="11">
        <f t="shared" si="12"/>
        <v>62.27</v>
      </c>
      <c r="M109" s="14">
        <f>$H$196</f>
        <v>16800</v>
      </c>
      <c r="N109" s="14">
        <f t="shared" si="13"/>
        <v>1046200</v>
      </c>
      <c r="O109" s="14">
        <f t="shared" si="14"/>
        <v>144800</v>
      </c>
      <c r="P109" s="16">
        <v>90200</v>
      </c>
      <c r="Q109" s="16">
        <f>VLOOKUP(B109,[2]Sheet1!$C$2:$D$299,2,FALSE)</f>
        <v>90200</v>
      </c>
      <c r="R109" s="17">
        <v>90200</v>
      </c>
      <c r="S109" s="17">
        <f t="shared" si="15"/>
        <v>0</v>
      </c>
      <c r="T109" s="43">
        <f t="shared" si="16"/>
        <v>0</v>
      </c>
      <c r="U109" s="20" t="str">
        <f t="shared" si="17"/>
        <v>AL DÍA</v>
      </c>
      <c r="V109" s="21">
        <f>VLOOKUP(B109,'[3]Deal List'!$F$4:$Q$302,8,FALSE)</f>
        <v>2</v>
      </c>
      <c r="W109" s="22" t="str">
        <f>VLOOKUP(B109,'[3]Deal List'!$F$4:$Q$302,9,FALSE)</f>
        <v>APROBADA</v>
      </c>
      <c r="X109" s="23">
        <f>VLOOKUP(B109,'[3]Deal List'!$F$4:$Q$302,12,FALSE)</f>
        <v>0</v>
      </c>
    </row>
    <row r="110" spans="1:24" x14ac:dyDescent="0.3">
      <c r="A110" s="9" t="s">
        <v>117</v>
      </c>
      <c r="B110" s="9">
        <v>1014</v>
      </c>
      <c r="C110" s="9" t="str">
        <f>VLOOKUP(B110,'[1]Matriz Precios A'!$B$3:$BN$301,2,FALSE)</f>
        <v>B1</v>
      </c>
      <c r="D110" s="10">
        <f>VLOOKUP(B110,'[1]Matriz Precios A'!$B$3:$BN$301,34,FALSE)</f>
        <v>883300</v>
      </c>
      <c r="E110" s="11">
        <f>VLOOKUP(B110,'[1]Matriz Precios A'!$B$3:$BN$301,3,FALSE)</f>
        <v>48.69</v>
      </c>
      <c r="F110" s="11">
        <v>0</v>
      </c>
      <c r="G110" s="12">
        <f>VLOOKUP(B110,'[1]Matriz Precios A'!$B$3:$BP$301,7,FALSE)</f>
        <v>1</v>
      </c>
      <c r="H110" s="13">
        <f t="shared" si="9"/>
        <v>12.5</v>
      </c>
      <c r="I110" s="13">
        <f>VLOOKUP(B110,'[1]Matriz Precios A'!$B$3:$BP$301,8,FALSE)</f>
        <v>0</v>
      </c>
      <c r="J110" s="11">
        <f t="shared" si="10"/>
        <v>0</v>
      </c>
      <c r="K110" s="13">
        <f t="shared" si="11"/>
        <v>0</v>
      </c>
      <c r="L110" s="11">
        <f t="shared" si="12"/>
        <v>61.19</v>
      </c>
      <c r="M110" s="14">
        <f>$H$196</f>
        <v>16800</v>
      </c>
      <c r="N110" s="14">
        <f t="shared" si="13"/>
        <v>1028000</v>
      </c>
      <c r="O110" s="14">
        <f t="shared" si="14"/>
        <v>144700</v>
      </c>
      <c r="P110" s="16">
        <v>88400</v>
      </c>
      <c r="Q110" s="16">
        <f>VLOOKUP(B110,[2]Sheet1!$C$2:$D$299,2,FALSE)</f>
        <v>88400</v>
      </c>
      <c r="R110" s="17">
        <v>88400</v>
      </c>
      <c r="S110" s="17">
        <f t="shared" si="15"/>
        <v>0</v>
      </c>
      <c r="T110" s="43">
        <f t="shared" si="16"/>
        <v>0</v>
      </c>
      <c r="U110" s="20" t="str">
        <f t="shared" si="17"/>
        <v>AL DÍA</v>
      </c>
      <c r="V110" s="21">
        <f>VLOOKUP(B110,'[3]Deal List'!$F$4:$Q$302,8,FALSE)</f>
        <v>1</v>
      </c>
      <c r="W110" s="22" t="str">
        <f>VLOOKUP(B110,'[3]Deal List'!$F$4:$Q$302,9,FALSE)</f>
        <v>DENEGADA</v>
      </c>
      <c r="X110" s="23" t="str">
        <f>VLOOKUP(B110,'[3]Deal List'!$F$4:$Q$302,12,FALSE)</f>
        <v>Cliente posee un RCI superiror al 100% (3 creditos fiduciarios por Q800 mil y saldos vencidos en TC, adjuntar finiquito)</v>
      </c>
    </row>
    <row r="111" spans="1:24" x14ac:dyDescent="0.3">
      <c r="A111" s="9" t="s">
        <v>118</v>
      </c>
      <c r="B111" s="47">
        <v>1018</v>
      </c>
      <c r="C111" s="9" t="str">
        <f>VLOOKUP(B111,'[1]Matriz Precios A'!$B$3:$BN$301,2,FALSE)</f>
        <v>A3</v>
      </c>
      <c r="D111" s="10">
        <f>VLOOKUP(B111,'[1]Matriz Precios A'!$B$3:$BN$301,34,FALSE)</f>
        <v>690627.17</v>
      </c>
      <c r="E111" s="11">
        <f>VLOOKUP(B111,'[1]Matriz Precios A'!$B$3:$BN$301,3,FALSE)</f>
        <v>35.94</v>
      </c>
      <c r="F111" s="11">
        <v>0</v>
      </c>
      <c r="G111" s="12">
        <f>VLOOKUP(B111,'[1]Matriz Precios A'!$B$3:$BP$301,7,FALSE)</f>
        <v>1</v>
      </c>
      <c r="H111" s="13">
        <f t="shared" si="9"/>
        <v>12.5</v>
      </c>
      <c r="I111" s="13">
        <f>VLOOKUP(B111,'[1]Matriz Precios A'!$B$3:$BP$301,8,FALSE)</f>
        <v>0</v>
      </c>
      <c r="J111" s="11">
        <f t="shared" si="10"/>
        <v>0</v>
      </c>
      <c r="K111" s="13">
        <f t="shared" si="11"/>
        <v>0</v>
      </c>
      <c r="L111" s="11">
        <f t="shared" si="12"/>
        <v>48.44</v>
      </c>
      <c r="M111" s="14">
        <f>$H$195</f>
        <v>18865.9793814433</v>
      </c>
      <c r="N111" s="14">
        <f t="shared" si="13"/>
        <v>913900</v>
      </c>
      <c r="O111" s="14">
        <f t="shared" si="14"/>
        <v>223272.82999999996</v>
      </c>
      <c r="P111" s="16">
        <v>69127.17</v>
      </c>
      <c r="Q111" s="16">
        <f>VLOOKUP(B111,[2]Sheet1!$C$2:$D$299,2,FALSE)</f>
        <v>69127.17</v>
      </c>
      <c r="R111" s="17">
        <v>69127.17</v>
      </c>
      <c r="S111" s="17">
        <f t="shared" si="15"/>
        <v>0</v>
      </c>
      <c r="T111" s="43">
        <f t="shared" si="16"/>
        <v>0</v>
      </c>
      <c r="U111" s="20" t="str">
        <f t="shared" si="17"/>
        <v>AL DÍA</v>
      </c>
      <c r="V111" s="21">
        <f>VLOOKUP(B111,'[3]Deal List'!$F$4:$Q$302,8,FALSE)</f>
        <v>2</v>
      </c>
      <c r="W111" s="22" t="str">
        <f>VLOOKUP(B111,'[3]Deal List'!$F$4:$Q$302,9,FALSE)</f>
        <v>APROBADA</v>
      </c>
      <c r="X111" s="23">
        <f>VLOOKUP(B111,'[3]Deal List'!$F$4:$Q$302,12,FALSE)</f>
        <v>0</v>
      </c>
    </row>
    <row r="112" spans="1:24" x14ac:dyDescent="0.3">
      <c r="A112" s="22" t="s">
        <v>119</v>
      </c>
      <c r="B112" s="9">
        <v>1106</v>
      </c>
      <c r="C112" s="9" t="str">
        <f>VLOOKUP(B112,'[1]Matriz Precios A'!$B$3:$BN$301,2,FALSE)</f>
        <v>A4</v>
      </c>
      <c r="D112" s="10">
        <f>VLOOKUP(B112,'[1]Matriz Precios A'!$B$3:$BN$301,34,FALSE)</f>
        <v>661100</v>
      </c>
      <c r="E112" s="11">
        <f>VLOOKUP(B112,'[1]Matriz Precios A'!$B$3:$BN$301,3,FALSE)</f>
        <v>35.549999999999997</v>
      </c>
      <c r="F112" s="11">
        <v>0</v>
      </c>
      <c r="G112" s="12">
        <f>VLOOKUP(B112,'[1]Matriz Precios A'!$B$3:$BP$301,7,FALSE)</f>
        <v>1</v>
      </c>
      <c r="H112" s="13">
        <f t="shared" si="9"/>
        <v>12.5</v>
      </c>
      <c r="I112" s="13">
        <f>VLOOKUP(B112,'[1]Matriz Precios A'!$B$3:$BP$301,8,FALSE)</f>
        <v>0</v>
      </c>
      <c r="J112" s="11">
        <f t="shared" si="10"/>
        <v>0</v>
      </c>
      <c r="K112" s="13">
        <f t="shared" si="11"/>
        <v>0</v>
      </c>
      <c r="L112" s="11">
        <f t="shared" si="12"/>
        <v>48.05</v>
      </c>
      <c r="M112" s="14">
        <f>$H$195</f>
        <v>18865.9793814433</v>
      </c>
      <c r="N112" s="14">
        <f t="shared" si="13"/>
        <v>906600</v>
      </c>
      <c r="O112" s="14">
        <f t="shared" si="14"/>
        <v>245500</v>
      </c>
      <c r="P112" s="16">
        <v>66200</v>
      </c>
      <c r="Q112" s="16">
        <f>VLOOKUP(B112,[2]Sheet1!$C$2:$D$299,2,FALSE)</f>
        <v>66200</v>
      </c>
      <c r="R112" s="17">
        <v>66200</v>
      </c>
      <c r="S112" s="17">
        <f t="shared" si="15"/>
        <v>0</v>
      </c>
      <c r="T112" s="43">
        <f t="shared" si="16"/>
        <v>0</v>
      </c>
      <c r="U112" s="20" t="str">
        <f t="shared" si="17"/>
        <v>AL DÍA</v>
      </c>
      <c r="V112" s="21">
        <f>VLOOKUP(B112,'[3]Deal List'!$F$4:$Q$302,8,FALSE)</f>
        <v>1</v>
      </c>
      <c r="W112" s="22" t="str">
        <f>VLOOKUP(B112,'[3]Deal List'!$F$4:$Q$302,9,FALSE)</f>
        <v>APROBADA</v>
      </c>
      <c r="X112" s="23">
        <f>VLOOKUP(B112,'[3]Deal List'!$F$4:$Q$302,12,FALSE)</f>
        <v>0</v>
      </c>
    </row>
    <row r="113" spans="1:24" x14ac:dyDescent="0.3">
      <c r="A113" s="9" t="s">
        <v>120</v>
      </c>
      <c r="B113" s="28">
        <v>1110</v>
      </c>
      <c r="C113" s="9" t="str">
        <f>VLOOKUP(B113,'[1]Matriz Precios A'!$B$3:$BN$301,2,FALSE)</f>
        <v>C6</v>
      </c>
      <c r="D113" s="10">
        <f>VLOOKUP(B113,'[1]Matriz Precios A'!$B$3:$BN$301,34,FALSE)</f>
        <v>1166200</v>
      </c>
      <c r="E113" s="11">
        <f>VLOOKUP(B113,'[1]Matriz Precios A'!$B$3:$BN$301,3,FALSE)</f>
        <v>55</v>
      </c>
      <c r="F113" s="11">
        <v>0</v>
      </c>
      <c r="G113" s="12">
        <f>VLOOKUP(B113,'[1]Matriz Precios A'!$B$3:$BP$301,7,FALSE)</f>
        <v>0</v>
      </c>
      <c r="H113" s="13">
        <f t="shared" si="9"/>
        <v>0</v>
      </c>
      <c r="I113" s="13">
        <f>VLOOKUP(B113,'[1]Matriz Precios A'!$B$3:$BP$301,8,FALSE)</f>
        <v>1</v>
      </c>
      <c r="J113" s="11">
        <f t="shared" si="10"/>
        <v>25</v>
      </c>
      <c r="K113" s="13">
        <f t="shared" si="11"/>
        <v>5.3</v>
      </c>
      <c r="L113" s="11">
        <f t="shared" si="12"/>
        <v>85.3</v>
      </c>
      <c r="M113" s="14">
        <f>$H$199</f>
        <v>15826.494724501759</v>
      </c>
      <c r="N113" s="14">
        <f t="shared" si="13"/>
        <v>1350000</v>
      </c>
      <c r="O113" s="14">
        <f t="shared" si="14"/>
        <v>183800</v>
      </c>
      <c r="P113" s="16">
        <v>116700</v>
      </c>
      <c r="Q113" s="16">
        <f>VLOOKUP(B113,[2]Sheet1!$C$2:$D$299,2,FALSE)</f>
        <v>116700</v>
      </c>
      <c r="R113" s="17">
        <v>116700</v>
      </c>
      <c r="S113" s="17">
        <f t="shared" si="15"/>
        <v>0</v>
      </c>
      <c r="T113" s="43">
        <f t="shared" si="16"/>
        <v>0</v>
      </c>
      <c r="U113" s="20" t="str">
        <f t="shared" si="17"/>
        <v>AL DÍA</v>
      </c>
      <c r="V113" s="21">
        <f>VLOOKUP(B113,'[3]Deal List'!$F$4:$Q$302,8,FALSE)</f>
        <v>1</v>
      </c>
      <c r="W113" s="22" t="str">
        <f>VLOOKUP(B113,'[3]Deal List'!$F$4:$Q$302,9,FALSE)</f>
        <v>DENEGADA</v>
      </c>
      <c r="X113" s="23" t="str">
        <f>VLOOKUP(B113,'[3]Deal List'!$F$4:$Q$302,12,FALSE)</f>
        <v>Cliente posee un RCI superior al 100% (TCs por Q276 mil)</v>
      </c>
    </row>
    <row r="114" spans="1:24" x14ac:dyDescent="0.3">
      <c r="A114" s="9" t="s">
        <v>121</v>
      </c>
      <c r="B114" s="28">
        <v>1113</v>
      </c>
      <c r="C114" s="9" t="str">
        <f>VLOOKUP(B114,'[1]Matriz Precios A'!$B$3:$BN$301,2,FALSE)</f>
        <v>A2</v>
      </c>
      <c r="D114" s="10">
        <f>VLOOKUP(B114,'[1]Matriz Precios A'!$B$3:$BN$301,34,FALSE)</f>
        <v>645639</v>
      </c>
      <c r="E114" s="11">
        <f>VLOOKUP(B114,'[1]Matriz Precios A'!$B$3:$BN$301,3,FALSE)</f>
        <v>34.9</v>
      </c>
      <c r="F114" s="11">
        <v>0</v>
      </c>
      <c r="G114" s="12">
        <f>VLOOKUP(B114,'[1]Matriz Precios A'!$B$3:$BP$301,7,FALSE)</f>
        <v>1</v>
      </c>
      <c r="H114" s="13">
        <f t="shared" si="9"/>
        <v>12.5</v>
      </c>
      <c r="I114" s="13">
        <f>VLOOKUP(B114,'[1]Matriz Precios A'!$B$3:$BP$301,8,FALSE)</f>
        <v>0</v>
      </c>
      <c r="J114" s="11">
        <f t="shared" si="10"/>
        <v>0</v>
      </c>
      <c r="K114" s="13">
        <f t="shared" si="11"/>
        <v>0</v>
      </c>
      <c r="L114" s="11">
        <f t="shared" si="12"/>
        <v>47.4</v>
      </c>
      <c r="M114" s="14">
        <f>$H$195</f>
        <v>18865.9793814433</v>
      </c>
      <c r="N114" s="14">
        <f t="shared" si="13"/>
        <v>894300</v>
      </c>
      <c r="O114" s="14">
        <f t="shared" si="14"/>
        <v>248661</v>
      </c>
      <c r="P114" s="16">
        <v>64639</v>
      </c>
      <c r="Q114" s="16">
        <f>VLOOKUP(B114,[2]Sheet1!$C$2:$D$299,2,FALSE)</f>
        <v>64639</v>
      </c>
      <c r="R114" s="17">
        <v>64639</v>
      </c>
      <c r="S114" s="17">
        <f t="shared" si="15"/>
        <v>0</v>
      </c>
      <c r="T114" s="43">
        <f t="shared" si="16"/>
        <v>0</v>
      </c>
      <c r="U114" s="20" t="str">
        <f t="shared" si="17"/>
        <v>AL DÍA</v>
      </c>
      <c r="V114" s="21">
        <f>VLOOKUP(B114,'[3]Deal List'!$F$4:$Q$302,8,FALSE)</f>
        <v>1</v>
      </c>
      <c r="W114" s="22" t="str">
        <f>VLOOKUP(B114,'[3]Deal List'!$F$4:$Q$302,9,FALSE)</f>
        <v>APROBADA</v>
      </c>
      <c r="X114" s="23">
        <f>VLOOKUP(B114,'[3]Deal List'!$F$4:$Q$302,12,FALSE)</f>
        <v>0</v>
      </c>
    </row>
    <row r="115" spans="1:24" x14ac:dyDescent="0.3">
      <c r="A115" s="31" t="s">
        <v>122</v>
      </c>
      <c r="B115" s="27">
        <v>1115</v>
      </c>
      <c r="C115" s="9" t="str">
        <f>VLOOKUP(B115,'[1]Matriz Precios A'!$B$3:$BN$301,2,FALSE)</f>
        <v>B4</v>
      </c>
      <c r="D115" s="10">
        <f>VLOOKUP(B115,'[1]Matriz Precios A'!$B$3:$BN$301,34,FALSE)</f>
        <v>1142630.20477101</v>
      </c>
      <c r="E115" s="11">
        <f>VLOOKUP(B115,'[1]Matriz Precios A'!$B$3:$BN$301,3,FALSE)</f>
        <v>49.77</v>
      </c>
      <c r="F115" s="11">
        <v>0</v>
      </c>
      <c r="G115" s="12">
        <f>VLOOKUP(B115,'[1]Matriz Precios A'!$B$3:$BP$301,7,FALSE)</f>
        <v>1</v>
      </c>
      <c r="H115" s="13">
        <f t="shared" si="9"/>
        <v>12.5</v>
      </c>
      <c r="I115" s="13">
        <f>VLOOKUP(B115,'[1]Matriz Precios A'!$B$3:$BP$301,8,FALSE)</f>
        <v>0</v>
      </c>
      <c r="J115" s="11">
        <f t="shared" si="10"/>
        <v>0</v>
      </c>
      <c r="K115" s="13">
        <f t="shared" si="11"/>
        <v>0</v>
      </c>
      <c r="L115" s="11">
        <f t="shared" si="12"/>
        <v>62.27</v>
      </c>
      <c r="M115" s="14">
        <f>$H$196</f>
        <v>16800</v>
      </c>
      <c r="N115" s="14">
        <f t="shared" si="13"/>
        <v>1046200</v>
      </c>
      <c r="O115" s="32">
        <f t="shared" si="14"/>
        <v>-96430.204771009972</v>
      </c>
      <c r="P115" s="15">
        <v>114330.2</v>
      </c>
      <c r="Q115" s="16">
        <f>VLOOKUP(B115,[2]Sheet1!$C$2:$D$299,2,FALSE)</f>
        <v>90250</v>
      </c>
      <c r="R115" s="17">
        <v>90250</v>
      </c>
      <c r="S115" s="17">
        <f t="shared" si="15"/>
        <v>0</v>
      </c>
      <c r="T115" s="19">
        <f t="shared" si="16"/>
        <v>-24080.199999999997</v>
      </c>
      <c r="U115" s="20" t="str">
        <f t="shared" si="17"/>
        <v>AL DÍA</v>
      </c>
      <c r="V115" s="21">
        <f>VLOOKUP(B115,'[3]Deal List'!$F$4:$Q$302,8,FALSE)</f>
        <v>2</v>
      </c>
      <c r="W115" s="22" t="str">
        <f>VLOOKUP(B115,'[3]Deal List'!$F$4:$Q$302,9,FALSE)</f>
        <v>APROBADA</v>
      </c>
      <c r="X115" s="23">
        <f>VLOOKUP(B115,'[3]Deal List'!$F$4:$Q$302,12,FALSE)</f>
        <v>0</v>
      </c>
    </row>
    <row r="116" spans="1:24" x14ac:dyDescent="0.3">
      <c r="A116" s="29" t="s">
        <v>123</v>
      </c>
      <c r="B116" s="27">
        <v>1204</v>
      </c>
      <c r="C116" s="9" t="str">
        <f>VLOOKUP(B116,'[1]Matriz Precios A'!$B$3:$BN$301,2,FALSE)</f>
        <v>B3</v>
      </c>
      <c r="D116" s="10">
        <f>VLOOKUP(B116,'[1]Matriz Precios A'!$B$3:$BN$301,34,FALSE)</f>
        <v>887400</v>
      </c>
      <c r="E116" s="11">
        <f>VLOOKUP(B116,'[1]Matriz Precios A'!$B$3:$BN$301,3,FALSE)</f>
        <v>48.96</v>
      </c>
      <c r="F116" s="11">
        <v>0</v>
      </c>
      <c r="G116" s="12">
        <f>VLOOKUP(B116,'[1]Matriz Precios A'!$B$3:$BP$301,7,FALSE)</f>
        <v>1</v>
      </c>
      <c r="H116" s="13">
        <f t="shared" si="9"/>
        <v>12.5</v>
      </c>
      <c r="I116" s="13">
        <f>VLOOKUP(B116,'[1]Matriz Precios A'!$B$3:$BP$301,8,FALSE)</f>
        <v>0</v>
      </c>
      <c r="J116" s="11">
        <f t="shared" si="10"/>
        <v>0</v>
      </c>
      <c r="K116" s="13">
        <f t="shared" si="11"/>
        <v>0</v>
      </c>
      <c r="L116" s="11">
        <f t="shared" si="12"/>
        <v>61.46</v>
      </c>
      <c r="M116" s="14">
        <f>$H$196</f>
        <v>16800</v>
      </c>
      <c r="N116" s="14">
        <f t="shared" si="13"/>
        <v>1032600</v>
      </c>
      <c r="O116" s="14">
        <f t="shared" si="14"/>
        <v>145200</v>
      </c>
      <c r="P116" s="15">
        <v>88800</v>
      </c>
      <c r="Q116" s="16">
        <f>VLOOKUP(B116,[2]Sheet1!$C$2:$D$299,2,FALSE)</f>
        <v>88800</v>
      </c>
      <c r="R116" s="17">
        <v>88800</v>
      </c>
      <c r="S116" s="17">
        <f t="shared" si="15"/>
        <v>0</v>
      </c>
      <c r="T116" s="43">
        <f t="shared" si="16"/>
        <v>0</v>
      </c>
      <c r="U116" s="20" t="str">
        <f t="shared" si="17"/>
        <v>AL DÍA</v>
      </c>
      <c r="V116" s="21">
        <f>VLOOKUP(B116,'[3]Deal List'!$F$4:$Q$302,8,FALSE)</f>
        <v>2</v>
      </c>
      <c r="W116" s="22" t="str">
        <f>VLOOKUP(B116,'[3]Deal List'!$F$4:$Q$302,9,FALSE)</f>
        <v>APROBADA</v>
      </c>
      <c r="X116" s="23">
        <f>VLOOKUP(B116,'[3]Deal List'!$F$4:$Q$302,12,FALSE)</f>
        <v>0</v>
      </c>
    </row>
    <row r="117" spans="1:24" x14ac:dyDescent="0.3">
      <c r="A117" s="22" t="s">
        <v>124</v>
      </c>
      <c r="B117" s="28">
        <v>1206</v>
      </c>
      <c r="C117" s="9" t="str">
        <f>VLOOKUP(B117,'[1]Matriz Precios A'!$B$3:$BN$301,2,FALSE)</f>
        <v>A4</v>
      </c>
      <c r="D117" s="10">
        <f>VLOOKUP(B117,'[1]Matriz Precios A'!$B$3:$BN$301,34,FALSE)</f>
        <v>691118.49</v>
      </c>
      <c r="E117" s="11">
        <f>VLOOKUP(B117,'[1]Matriz Precios A'!$B$3:$BN$301,3,FALSE)</f>
        <v>35.549999999999997</v>
      </c>
      <c r="F117" s="11">
        <v>0</v>
      </c>
      <c r="G117" s="12">
        <f>VLOOKUP(B117,'[1]Matriz Precios A'!$B$3:$BP$301,7,FALSE)</f>
        <v>1</v>
      </c>
      <c r="H117" s="13">
        <f t="shared" si="9"/>
        <v>12.5</v>
      </c>
      <c r="I117" s="13">
        <f>VLOOKUP(B117,'[1]Matriz Precios A'!$B$3:$BP$301,8,FALSE)</f>
        <v>0</v>
      </c>
      <c r="J117" s="11">
        <f t="shared" si="10"/>
        <v>0</v>
      </c>
      <c r="K117" s="13">
        <f t="shared" si="11"/>
        <v>0</v>
      </c>
      <c r="L117" s="11">
        <f t="shared" si="12"/>
        <v>48.05</v>
      </c>
      <c r="M117" s="14">
        <f>$H$195</f>
        <v>18865.9793814433</v>
      </c>
      <c r="N117" s="14">
        <f t="shared" si="13"/>
        <v>906600</v>
      </c>
      <c r="O117" s="14">
        <f t="shared" si="14"/>
        <v>215481.51</v>
      </c>
      <c r="P117" s="16">
        <v>69118.490000000005</v>
      </c>
      <c r="Q117" s="16">
        <f>VLOOKUP(B117,[2]Sheet1!$C$2:$D$299,2,FALSE)</f>
        <v>69118.490000000005</v>
      </c>
      <c r="R117" s="17">
        <v>69118.490000000005</v>
      </c>
      <c r="S117" s="17">
        <f t="shared" si="15"/>
        <v>0</v>
      </c>
      <c r="T117" s="43">
        <f t="shared" si="16"/>
        <v>0</v>
      </c>
      <c r="U117" s="20" t="str">
        <f t="shared" si="17"/>
        <v>AL DÍA</v>
      </c>
      <c r="V117" s="21">
        <f>VLOOKUP(B117,'[3]Deal List'!$F$4:$Q$302,8,FALSE)</f>
        <v>1</v>
      </c>
      <c r="W117" s="22" t="str">
        <f>VLOOKUP(B117,'[3]Deal List'!$F$4:$Q$302,9,FALSE)</f>
        <v>APROBADA</v>
      </c>
      <c r="X117" s="23">
        <f>VLOOKUP(B117,'[3]Deal List'!$F$4:$Q$302,12,FALSE)</f>
        <v>0</v>
      </c>
    </row>
    <row r="118" spans="1:24" x14ac:dyDescent="0.3">
      <c r="A118" s="22" t="s">
        <v>125</v>
      </c>
      <c r="B118" s="22">
        <v>1208</v>
      </c>
      <c r="C118" s="9" t="str">
        <f>VLOOKUP(B118,'[1]Matriz Precios A'!$B$3:$BN$301,2,FALSE)</f>
        <v>C6</v>
      </c>
      <c r="D118" s="10">
        <f>VLOOKUP(B118,'[1]Matriz Precios A'!$B$3:$BN$301,34,FALSE)</f>
        <v>1110600</v>
      </c>
      <c r="E118" s="11">
        <f>VLOOKUP(B118,'[1]Matriz Precios A'!$B$3:$BN$301,3,FALSE)</f>
        <v>55</v>
      </c>
      <c r="F118" s="11">
        <v>0</v>
      </c>
      <c r="G118" s="12">
        <f>VLOOKUP(B118,'[1]Matriz Precios A'!$B$3:$BP$301,7,FALSE)</f>
        <v>0</v>
      </c>
      <c r="H118" s="13">
        <f t="shared" si="9"/>
        <v>0</v>
      </c>
      <c r="I118" s="13">
        <f>VLOOKUP(B118,'[1]Matriz Precios A'!$B$3:$BP$301,8,FALSE)</f>
        <v>1</v>
      </c>
      <c r="J118" s="11">
        <f t="shared" si="10"/>
        <v>25</v>
      </c>
      <c r="K118" s="13">
        <f t="shared" si="11"/>
        <v>5.3</v>
      </c>
      <c r="L118" s="11">
        <f t="shared" si="12"/>
        <v>85.3</v>
      </c>
      <c r="M118" s="14">
        <f>$H$199</f>
        <v>15826.494724501759</v>
      </c>
      <c r="N118" s="14">
        <f t="shared" si="13"/>
        <v>1350000</v>
      </c>
      <c r="O118" s="14">
        <f t="shared" si="14"/>
        <v>239400</v>
      </c>
      <c r="P118" s="16">
        <v>111100</v>
      </c>
      <c r="Q118" s="16">
        <f>VLOOKUP(B118,[2]Sheet1!$C$2:$D$299,2,FALSE)</f>
        <v>111100</v>
      </c>
      <c r="R118" s="17">
        <v>111100</v>
      </c>
      <c r="S118" s="17">
        <f t="shared" si="15"/>
        <v>0</v>
      </c>
      <c r="T118" s="43">
        <f t="shared" si="16"/>
        <v>0</v>
      </c>
      <c r="U118" s="20" t="str">
        <f t="shared" si="17"/>
        <v>AL DÍA</v>
      </c>
      <c r="V118" s="21">
        <f>VLOOKUP(B118,'[3]Deal List'!$F$4:$Q$302,8,FALSE)</f>
        <v>1</v>
      </c>
      <c r="W118" s="22" t="str">
        <f>VLOOKUP(B118,'[3]Deal List'!$F$4:$Q$302,9,FALSE)</f>
        <v>APROBADA</v>
      </c>
      <c r="X118" s="23">
        <f>VLOOKUP(B118,'[3]Deal List'!$F$4:$Q$302,12,FALSE)</f>
        <v>0</v>
      </c>
    </row>
    <row r="119" spans="1:24" x14ac:dyDescent="0.3">
      <c r="A119" s="22" t="s">
        <v>125</v>
      </c>
      <c r="B119" s="22">
        <v>1210</v>
      </c>
      <c r="C119" s="9" t="str">
        <f>VLOOKUP(B119,'[1]Matriz Precios A'!$B$3:$BN$301,2,FALSE)</f>
        <v>C6</v>
      </c>
      <c r="D119" s="10">
        <f>VLOOKUP(B119,'[1]Matriz Precios A'!$B$3:$BN$301,34,FALSE)</f>
        <v>1110600</v>
      </c>
      <c r="E119" s="11">
        <f>VLOOKUP(B119,'[1]Matriz Precios A'!$B$3:$BN$301,3,FALSE)</f>
        <v>55</v>
      </c>
      <c r="F119" s="11">
        <v>0</v>
      </c>
      <c r="G119" s="12">
        <f>VLOOKUP(B119,'[1]Matriz Precios A'!$B$3:$BP$301,7,FALSE)</f>
        <v>0</v>
      </c>
      <c r="H119" s="13">
        <f t="shared" si="9"/>
        <v>0</v>
      </c>
      <c r="I119" s="13">
        <f>VLOOKUP(B119,'[1]Matriz Precios A'!$B$3:$BP$301,8,FALSE)</f>
        <v>1</v>
      </c>
      <c r="J119" s="11">
        <f t="shared" si="10"/>
        <v>25</v>
      </c>
      <c r="K119" s="13">
        <f t="shared" si="11"/>
        <v>5.3</v>
      </c>
      <c r="L119" s="11">
        <f t="shared" si="12"/>
        <v>85.3</v>
      </c>
      <c r="M119" s="14">
        <f>$H$199</f>
        <v>15826.494724501759</v>
      </c>
      <c r="N119" s="14">
        <f t="shared" si="13"/>
        <v>1350000</v>
      </c>
      <c r="O119" s="14">
        <f t="shared" si="14"/>
        <v>239400</v>
      </c>
      <c r="P119" s="16">
        <v>111100</v>
      </c>
      <c r="Q119" s="16">
        <f>VLOOKUP(B119,[2]Sheet1!$C$2:$D$299,2,FALSE)</f>
        <v>111100</v>
      </c>
      <c r="R119" s="17">
        <v>111100</v>
      </c>
      <c r="S119" s="17">
        <f t="shared" si="15"/>
        <v>0</v>
      </c>
      <c r="T119" s="43">
        <f t="shared" si="16"/>
        <v>0</v>
      </c>
      <c r="U119" s="20" t="str">
        <f t="shared" si="17"/>
        <v>AL DÍA</v>
      </c>
      <c r="V119" s="21">
        <f>VLOOKUP(B119,'[3]Deal List'!$F$4:$Q$302,8,FALSE)</f>
        <v>1</v>
      </c>
      <c r="W119" s="22" t="str">
        <f>VLOOKUP(B119,'[3]Deal List'!$F$4:$Q$302,9,FALSE)</f>
        <v>APROBADA</v>
      </c>
      <c r="X119" s="23">
        <f>VLOOKUP(B119,'[3]Deal List'!$F$4:$Q$302,12,FALSE)</f>
        <v>0</v>
      </c>
    </row>
    <row r="120" spans="1:24" x14ac:dyDescent="0.3">
      <c r="A120" s="27" t="s">
        <v>93</v>
      </c>
      <c r="B120" s="27">
        <v>1211</v>
      </c>
      <c r="C120" s="9" t="str">
        <f>VLOOKUP(B120,'[1]Matriz Precios A'!$B$3:$BN$301,2,FALSE)</f>
        <v>C5</v>
      </c>
      <c r="D120" s="10">
        <f>VLOOKUP(B120,'[1]Matriz Precios A'!$B$3:$BN$301,34,FALSE)</f>
        <v>1193202.5</v>
      </c>
      <c r="E120" s="11">
        <f>VLOOKUP(B120,'[1]Matriz Precios A'!$B$3:$BN$301,3,FALSE)</f>
        <v>54.86</v>
      </c>
      <c r="F120" s="11">
        <v>0</v>
      </c>
      <c r="G120" s="12">
        <f>VLOOKUP(B120,'[1]Matriz Precios A'!$B$3:$BP$301,7,FALSE)</f>
        <v>0</v>
      </c>
      <c r="H120" s="13">
        <f t="shared" si="9"/>
        <v>0</v>
      </c>
      <c r="I120" s="13">
        <f>VLOOKUP(B120,'[1]Matriz Precios A'!$B$3:$BP$301,8,FALSE)</f>
        <v>1</v>
      </c>
      <c r="J120" s="11">
        <f t="shared" si="10"/>
        <v>25</v>
      </c>
      <c r="K120" s="13">
        <f t="shared" si="11"/>
        <v>5.3</v>
      </c>
      <c r="L120" s="11">
        <f t="shared" si="12"/>
        <v>85.16</v>
      </c>
      <c r="M120" s="14">
        <f>$H$199</f>
        <v>15826.494724501759</v>
      </c>
      <c r="N120" s="14">
        <f t="shared" si="13"/>
        <v>1347800</v>
      </c>
      <c r="O120" s="14">
        <f t="shared" si="14"/>
        <v>154597.5</v>
      </c>
      <c r="P120" s="15">
        <v>119402.5</v>
      </c>
      <c r="Q120" s="16">
        <f>VLOOKUP(B120,[2]Sheet1!$C$2:$D$299,2,FALSE)</f>
        <v>119402.5</v>
      </c>
      <c r="R120" s="17">
        <v>119402.5</v>
      </c>
      <c r="S120" s="17">
        <f t="shared" si="15"/>
        <v>0</v>
      </c>
      <c r="T120" s="43">
        <f t="shared" si="16"/>
        <v>0</v>
      </c>
      <c r="U120" s="20" t="str">
        <f t="shared" si="17"/>
        <v>AL DÍA</v>
      </c>
      <c r="V120" s="21">
        <f>VLOOKUP(B120,'[3]Deal List'!$F$4:$Q$302,8,FALSE)</f>
        <v>2</v>
      </c>
      <c r="W120" s="22" t="str">
        <f>VLOOKUP(B120,'[3]Deal List'!$F$4:$Q$302,9,FALSE)</f>
        <v>APROBADA</v>
      </c>
      <c r="X120" s="23">
        <f>VLOOKUP(B120,'[3]Deal List'!$F$4:$Q$302,12,FALSE)</f>
        <v>0</v>
      </c>
    </row>
    <row r="121" spans="1:24" x14ac:dyDescent="0.3">
      <c r="A121" s="9" t="s">
        <v>121</v>
      </c>
      <c r="B121" s="28">
        <v>1213</v>
      </c>
      <c r="C121" s="9" t="str">
        <f>VLOOKUP(B121,'[1]Matriz Precios A'!$B$3:$BN$301,2,FALSE)</f>
        <v>A2</v>
      </c>
      <c r="D121" s="10">
        <f>VLOOKUP(B121,'[1]Matriz Precios A'!$B$3:$BN$301,34,FALSE)</f>
        <v>645639</v>
      </c>
      <c r="E121" s="11">
        <f>VLOOKUP(B121,'[1]Matriz Precios A'!$B$3:$BN$301,3,FALSE)</f>
        <v>34.9</v>
      </c>
      <c r="F121" s="11">
        <v>0</v>
      </c>
      <c r="G121" s="12">
        <f>VLOOKUP(B121,'[1]Matriz Precios A'!$B$3:$BP$301,7,FALSE)</f>
        <v>1</v>
      </c>
      <c r="H121" s="13">
        <f t="shared" si="9"/>
        <v>12.5</v>
      </c>
      <c r="I121" s="13">
        <f>VLOOKUP(B121,'[1]Matriz Precios A'!$B$3:$BP$301,8,FALSE)</f>
        <v>0</v>
      </c>
      <c r="J121" s="11">
        <f t="shared" si="10"/>
        <v>0</v>
      </c>
      <c r="K121" s="13">
        <f t="shared" si="11"/>
        <v>0</v>
      </c>
      <c r="L121" s="11">
        <f t="shared" si="12"/>
        <v>47.4</v>
      </c>
      <c r="M121" s="14">
        <f>$H$195</f>
        <v>18865.9793814433</v>
      </c>
      <c r="N121" s="14">
        <f t="shared" si="13"/>
        <v>894300</v>
      </c>
      <c r="O121" s="14">
        <f t="shared" si="14"/>
        <v>248661</v>
      </c>
      <c r="P121" s="16">
        <v>64639</v>
      </c>
      <c r="Q121" s="16">
        <f>VLOOKUP(B121,[2]Sheet1!$C$2:$D$299,2,FALSE)</f>
        <v>64639</v>
      </c>
      <c r="R121" s="17">
        <v>64639</v>
      </c>
      <c r="S121" s="17">
        <f t="shared" si="15"/>
        <v>0</v>
      </c>
      <c r="T121" s="43">
        <f t="shared" si="16"/>
        <v>0</v>
      </c>
      <c r="U121" s="20" t="str">
        <f t="shared" si="17"/>
        <v>AL DÍA</v>
      </c>
      <c r="V121" s="21">
        <f>VLOOKUP(B121,'[3]Deal List'!$F$4:$Q$302,8,FALSE)</f>
        <v>1</v>
      </c>
      <c r="W121" s="22" t="str">
        <f>VLOOKUP(B121,'[3]Deal List'!$F$4:$Q$302,9,FALSE)</f>
        <v>APROBADA</v>
      </c>
      <c r="X121" s="23">
        <f>VLOOKUP(B121,'[3]Deal List'!$F$4:$Q$302,12,FALSE)</f>
        <v>0</v>
      </c>
    </row>
    <row r="122" spans="1:24" x14ac:dyDescent="0.3">
      <c r="A122" s="9" t="s">
        <v>126</v>
      </c>
      <c r="B122" s="47">
        <v>1303</v>
      </c>
      <c r="C122" s="9" t="str">
        <f>VLOOKUP(B122,'[1]Matriz Precios A'!$B$3:$BN$301,2,FALSE)</f>
        <v>B4</v>
      </c>
      <c r="D122" s="10">
        <f>VLOOKUP(B122,'[1]Matriz Precios A'!$B$3:$BN$301,34,FALSE)</f>
        <v>901400</v>
      </c>
      <c r="E122" s="11">
        <f>VLOOKUP(B122,'[1]Matriz Precios A'!$B$3:$BN$301,3,FALSE)</f>
        <v>49.77</v>
      </c>
      <c r="F122" s="11">
        <v>0</v>
      </c>
      <c r="G122" s="12">
        <f>VLOOKUP(B122,'[1]Matriz Precios A'!$B$3:$BP$301,7,FALSE)</f>
        <v>1</v>
      </c>
      <c r="H122" s="13">
        <f t="shared" si="9"/>
        <v>12.5</v>
      </c>
      <c r="I122" s="13">
        <f>VLOOKUP(B122,'[1]Matriz Precios A'!$B$3:$BP$301,8,FALSE)</f>
        <v>0</v>
      </c>
      <c r="J122" s="11">
        <f t="shared" si="10"/>
        <v>0</v>
      </c>
      <c r="K122" s="13">
        <f t="shared" si="11"/>
        <v>0</v>
      </c>
      <c r="L122" s="11">
        <f t="shared" si="12"/>
        <v>62.27</v>
      </c>
      <c r="M122" s="14">
        <f>$H$196</f>
        <v>16800</v>
      </c>
      <c r="N122" s="14">
        <f t="shared" si="13"/>
        <v>1046200</v>
      </c>
      <c r="O122" s="14">
        <f t="shared" si="14"/>
        <v>144800</v>
      </c>
      <c r="P122" s="16">
        <v>90200</v>
      </c>
      <c r="Q122" s="16">
        <f>VLOOKUP(B122,[2]Sheet1!$C$2:$D$299,2,FALSE)</f>
        <v>90200</v>
      </c>
      <c r="R122" s="17">
        <v>90200</v>
      </c>
      <c r="S122" s="17">
        <f t="shared" si="15"/>
        <v>0</v>
      </c>
      <c r="T122" s="43">
        <f t="shared" si="16"/>
        <v>0</v>
      </c>
      <c r="U122" s="20" t="str">
        <f t="shared" si="17"/>
        <v>AL DÍA</v>
      </c>
      <c r="V122" s="21">
        <f>VLOOKUP(B122,'[3]Deal List'!$F$4:$Q$302,8,FALSE)</f>
        <v>2</v>
      </c>
      <c r="W122" s="22" t="str">
        <f>VLOOKUP(B122,'[3]Deal List'!$F$4:$Q$302,9,FALSE)</f>
        <v>APROBADA</v>
      </c>
      <c r="X122" s="23">
        <f>VLOOKUP(B122,'[3]Deal List'!$F$4:$Q$302,12,FALSE)</f>
        <v>0</v>
      </c>
    </row>
    <row r="123" spans="1:24" x14ac:dyDescent="0.3">
      <c r="A123" s="9" t="s">
        <v>121</v>
      </c>
      <c r="B123" s="28">
        <v>1313</v>
      </c>
      <c r="C123" s="9" t="str">
        <f>VLOOKUP(B123,'[1]Matriz Precios A'!$B$3:$BN$301,2,FALSE)</f>
        <v>A2</v>
      </c>
      <c r="D123" s="10">
        <f>VLOOKUP(B123,'[1]Matriz Precios A'!$B$3:$BN$301,34,FALSE)</f>
        <v>645649</v>
      </c>
      <c r="E123" s="11">
        <f>VLOOKUP(B123,'[1]Matriz Precios A'!$B$3:$BN$301,3,FALSE)</f>
        <v>34.9</v>
      </c>
      <c r="F123" s="11">
        <v>0</v>
      </c>
      <c r="G123" s="12">
        <f>VLOOKUP(B123,'[1]Matriz Precios A'!$B$3:$BP$301,7,FALSE)</f>
        <v>1</v>
      </c>
      <c r="H123" s="13">
        <f t="shared" si="9"/>
        <v>12.5</v>
      </c>
      <c r="I123" s="13">
        <f>VLOOKUP(B123,'[1]Matriz Precios A'!$B$3:$BP$301,8,FALSE)</f>
        <v>0</v>
      </c>
      <c r="J123" s="11">
        <f t="shared" si="10"/>
        <v>0</v>
      </c>
      <c r="K123" s="13">
        <f t="shared" si="11"/>
        <v>0</v>
      </c>
      <c r="L123" s="11">
        <f t="shared" si="12"/>
        <v>47.4</v>
      </c>
      <c r="M123" s="14">
        <f>$H$195</f>
        <v>18865.9793814433</v>
      </c>
      <c r="N123" s="14">
        <f t="shared" si="13"/>
        <v>894300</v>
      </c>
      <c r="O123" s="14">
        <f t="shared" si="14"/>
        <v>248651</v>
      </c>
      <c r="P123" s="16">
        <v>64639</v>
      </c>
      <c r="Q123" s="16">
        <f>VLOOKUP(B123,[2]Sheet1!$C$2:$D$299,2,FALSE)</f>
        <v>64639</v>
      </c>
      <c r="R123" s="17">
        <v>64639</v>
      </c>
      <c r="S123" s="17">
        <f t="shared" si="15"/>
        <v>0</v>
      </c>
      <c r="T123" s="43">
        <f t="shared" si="16"/>
        <v>0</v>
      </c>
      <c r="U123" s="20" t="str">
        <f t="shared" si="17"/>
        <v>AL DÍA</v>
      </c>
      <c r="V123" s="21">
        <f>VLOOKUP(B123,'[3]Deal List'!$F$4:$Q$302,8,FALSE)</f>
        <v>1</v>
      </c>
      <c r="W123" s="22" t="str">
        <f>VLOOKUP(B123,'[3]Deal List'!$F$4:$Q$302,9,FALSE)</f>
        <v>APROBADA</v>
      </c>
      <c r="X123" s="23">
        <f>VLOOKUP(B123,'[3]Deal List'!$F$4:$Q$302,12,FALSE)</f>
        <v>0</v>
      </c>
    </row>
    <row r="124" spans="1:24" x14ac:dyDescent="0.3">
      <c r="A124" s="29" t="s">
        <v>127</v>
      </c>
      <c r="B124" s="29">
        <v>1402</v>
      </c>
      <c r="C124" s="9" t="str">
        <f>VLOOKUP(B124,'[1]Matriz Precios A'!$B$3:$BN$301,2,FALSE)</f>
        <v>D13</v>
      </c>
      <c r="D124" s="10">
        <f>VLOOKUP(B124,'[1]Matriz Precios A'!$B$3:$BN$301,34,FALSE)</f>
        <v>1252020</v>
      </c>
      <c r="E124" s="11">
        <f>VLOOKUP(B124,'[1]Matriz Precios A'!$B$3:$BN$301,3,FALSE)</f>
        <v>60.9</v>
      </c>
      <c r="F124" s="11">
        <v>0</v>
      </c>
      <c r="G124" s="12">
        <f>VLOOKUP(B124,'[1]Matriz Precios A'!$B$3:$BP$301,7,FALSE)</f>
        <v>0</v>
      </c>
      <c r="H124" s="13">
        <f t="shared" si="9"/>
        <v>0</v>
      </c>
      <c r="I124" s="13">
        <f>VLOOKUP(B124,'[1]Matriz Precios A'!$B$3:$BP$301,8,FALSE)</f>
        <v>1</v>
      </c>
      <c r="J124" s="11">
        <f t="shared" si="10"/>
        <v>25</v>
      </c>
      <c r="K124" s="13">
        <f t="shared" si="11"/>
        <v>5.3</v>
      </c>
      <c r="L124" s="11">
        <f t="shared" si="12"/>
        <v>91.2</v>
      </c>
      <c r="M124" s="14">
        <f>$H$200</f>
        <v>14696.813977389518</v>
      </c>
      <c r="N124" s="14">
        <f t="shared" si="13"/>
        <v>1340400</v>
      </c>
      <c r="O124" s="14">
        <f t="shared" si="14"/>
        <v>88380</v>
      </c>
      <c r="P124" s="15">
        <v>125220</v>
      </c>
      <c r="Q124" s="16">
        <f>VLOOKUP(B124,[2]Sheet1!$C$2:$D$299,2,FALSE)</f>
        <v>125220</v>
      </c>
      <c r="R124" s="17">
        <v>125220</v>
      </c>
      <c r="S124" s="17">
        <f t="shared" si="15"/>
        <v>0</v>
      </c>
      <c r="T124" s="43">
        <f t="shared" si="16"/>
        <v>0</v>
      </c>
      <c r="U124" s="20" t="str">
        <f t="shared" si="17"/>
        <v>AL DÍA</v>
      </c>
      <c r="V124" s="21">
        <f>VLOOKUP(B124,'[3]Deal List'!$F$4:$Q$302,8,FALSE)</f>
        <v>2</v>
      </c>
      <c r="W124" s="22" t="str">
        <f>VLOOKUP(B124,'[3]Deal List'!$F$4:$Q$302,9,FALSE)</f>
        <v>APROBADA</v>
      </c>
      <c r="X124" s="23">
        <f>VLOOKUP(B124,'[3]Deal List'!$F$4:$Q$302,12,FALSE)</f>
        <v>0</v>
      </c>
    </row>
    <row r="125" spans="1:24" x14ac:dyDescent="0.3">
      <c r="A125" s="31" t="s">
        <v>128</v>
      </c>
      <c r="B125" s="26">
        <v>1407</v>
      </c>
      <c r="C125" s="9" t="str">
        <f>VLOOKUP(B125,'[1]Matriz Precios A'!$B$3:$BN$301,2,FALSE)</f>
        <v>B5</v>
      </c>
      <c r="D125" s="10">
        <f>VLOOKUP(B125,'[1]Matriz Precios A'!$B$3:$BN$301,34,FALSE)</f>
        <v>1074100</v>
      </c>
      <c r="E125" s="11">
        <f>VLOOKUP(B125,'[1]Matriz Precios A'!$B$3:$BN$301,3,FALSE)</f>
        <v>52.51</v>
      </c>
      <c r="F125" s="11">
        <v>0</v>
      </c>
      <c r="G125" s="12">
        <f>VLOOKUP(B125,'[1]Matriz Precios A'!$B$3:$BP$301,7,FALSE)</f>
        <v>0</v>
      </c>
      <c r="H125" s="13">
        <f t="shared" si="9"/>
        <v>0</v>
      </c>
      <c r="I125" s="13">
        <f>VLOOKUP(B125,'[1]Matriz Precios A'!$B$3:$BP$301,8,FALSE)</f>
        <v>1</v>
      </c>
      <c r="J125" s="11">
        <f t="shared" si="10"/>
        <v>25</v>
      </c>
      <c r="K125" s="13">
        <f t="shared" si="11"/>
        <v>5.3</v>
      </c>
      <c r="L125" s="11">
        <f t="shared" si="12"/>
        <v>82.809999999999988</v>
      </c>
      <c r="M125" s="14">
        <f>$H$197</f>
        <v>15691.158156911582</v>
      </c>
      <c r="N125" s="14">
        <f t="shared" si="13"/>
        <v>1299400</v>
      </c>
      <c r="O125" s="14">
        <f t="shared" si="14"/>
        <v>225300</v>
      </c>
      <c r="P125" s="15">
        <v>107410</v>
      </c>
      <c r="Q125" s="16">
        <f>VLOOKUP(B125,[2]Sheet1!$C$2:$D$299,2,FALSE)</f>
        <v>107410</v>
      </c>
      <c r="R125" s="17">
        <v>107410</v>
      </c>
      <c r="S125" s="17">
        <f t="shared" si="15"/>
        <v>0</v>
      </c>
      <c r="T125" s="43">
        <f t="shared" si="16"/>
        <v>0</v>
      </c>
      <c r="U125" s="20" t="str">
        <f t="shared" si="17"/>
        <v>AL DÍA</v>
      </c>
      <c r="V125" s="21">
        <f>VLOOKUP(B125,'[3]Deal List'!$F$4:$Q$302,8,FALSE)</f>
        <v>2</v>
      </c>
      <c r="W125" s="22" t="str">
        <f>VLOOKUP(B125,'[3]Deal List'!$F$4:$Q$302,9,FALSE)</f>
        <v>APROBADA</v>
      </c>
      <c r="X125" s="23">
        <f>VLOOKUP(B125,'[3]Deal List'!$F$4:$Q$302,12,FALSE)</f>
        <v>0</v>
      </c>
    </row>
    <row r="126" spans="1:24" x14ac:dyDescent="0.3">
      <c r="A126" s="27" t="s">
        <v>129</v>
      </c>
      <c r="B126" s="46">
        <v>1410</v>
      </c>
      <c r="C126" s="9" t="str">
        <f>VLOOKUP(B126,'[1]Matriz Precios A'!$B$3:$BN$301,2,FALSE)</f>
        <v>B3</v>
      </c>
      <c r="D126" s="10">
        <f>VLOOKUP(B126,'[1]Matriz Precios A'!$B$3:$BN$301,34,FALSE)</f>
        <v>845100</v>
      </c>
      <c r="E126" s="11">
        <f>VLOOKUP(B126,'[1]Matriz Precios A'!$B$3:$BN$301,3,FALSE)</f>
        <v>48.96</v>
      </c>
      <c r="F126" s="11">
        <v>0</v>
      </c>
      <c r="G126" s="12">
        <f>VLOOKUP(B126,'[1]Matriz Precios A'!$B$3:$BP$301,7,FALSE)</f>
        <v>1</v>
      </c>
      <c r="H126" s="13">
        <f t="shared" si="9"/>
        <v>12.5</v>
      </c>
      <c r="I126" s="13">
        <f>VLOOKUP(B126,'[1]Matriz Precios A'!$B$3:$BP$301,8,FALSE)</f>
        <v>0</v>
      </c>
      <c r="J126" s="11">
        <f t="shared" si="10"/>
        <v>0</v>
      </c>
      <c r="K126" s="13">
        <f t="shared" si="11"/>
        <v>0</v>
      </c>
      <c r="L126" s="11">
        <f t="shared" si="12"/>
        <v>61.46</v>
      </c>
      <c r="M126" s="14">
        <f>$H$196</f>
        <v>16800</v>
      </c>
      <c r="N126" s="14">
        <f t="shared" si="13"/>
        <v>1032600</v>
      </c>
      <c r="O126" s="14">
        <f t="shared" si="14"/>
        <v>187500</v>
      </c>
      <c r="P126" s="15">
        <v>88800</v>
      </c>
      <c r="Q126" s="16">
        <f>VLOOKUP(B126,[2]Sheet1!$C$2:$D$299,2,FALSE)</f>
        <v>88800</v>
      </c>
      <c r="R126" s="17">
        <v>88800</v>
      </c>
      <c r="S126" s="17">
        <f t="shared" si="15"/>
        <v>0</v>
      </c>
      <c r="T126" s="43">
        <f t="shared" si="16"/>
        <v>0</v>
      </c>
      <c r="U126" s="20" t="str">
        <f t="shared" si="17"/>
        <v>AL DÍA</v>
      </c>
      <c r="V126" s="21">
        <f>VLOOKUP(B126,'[3]Deal List'!$F$4:$Q$302,8,FALSE)</f>
        <v>2</v>
      </c>
      <c r="W126" s="22" t="str">
        <f>VLOOKUP(B126,'[3]Deal List'!$F$4:$Q$302,9,FALSE)</f>
        <v>APROBADA</v>
      </c>
      <c r="X126" s="23">
        <f>VLOOKUP(B126,'[3]Deal List'!$F$4:$Q$302,12,FALSE)</f>
        <v>0</v>
      </c>
    </row>
    <row r="127" spans="1:24" x14ac:dyDescent="0.3">
      <c r="A127" s="8" t="s">
        <v>24</v>
      </c>
      <c r="B127" s="25">
        <v>1602</v>
      </c>
      <c r="C127" s="9" t="str">
        <f>VLOOKUP(B127,'[1]Matriz Precios A'!$B$3:$BN$301,2,FALSE)</f>
        <v>D2</v>
      </c>
      <c r="D127" s="10">
        <f>VLOOKUP(B127,'[1]Matriz Precios A'!$B$3:$BN$301,34,FALSE)</f>
        <v>1265500</v>
      </c>
      <c r="E127" s="11">
        <f>VLOOKUP(B127,'[1]Matriz Precios A'!$B$3:$BN$301,3,FALSE)</f>
        <v>64.89</v>
      </c>
      <c r="F127" s="11">
        <v>0</v>
      </c>
      <c r="G127" s="12">
        <f>VLOOKUP(B127,'[1]Matriz Precios A'!$B$3:$BP$301,7,FALSE)</f>
        <v>0</v>
      </c>
      <c r="H127" s="13">
        <f t="shared" si="9"/>
        <v>0</v>
      </c>
      <c r="I127" s="13">
        <f>VLOOKUP(B127,'[1]Matriz Precios A'!$B$3:$BP$301,8,FALSE)</f>
        <v>1</v>
      </c>
      <c r="J127" s="11">
        <f t="shared" si="10"/>
        <v>25</v>
      </c>
      <c r="K127" s="13">
        <f t="shared" si="11"/>
        <v>5.3</v>
      </c>
      <c r="L127" s="11">
        <f t="shared" si="12"/>
        <v>95.19</v>
      </c>
      <c r="M127" s="14">
        <f>$H$200</f>
        <v>14696.813977389518</v>
      </c>
      <c r="N127" s="14">
        <f t="shared" si="13"/>
        <v>1399000</v>
      </c>
      <c r="O127" s="14">
        <f t="shared" si="14"/>
        <v>133500</v>
      </c>
      <c r="P127" s="15">
        <v>126550</v>
      </c>
      <c r="Q127" s="16">
        <f>VLOOKUP(B127,[2]Sheet1!$C$2:$D$299,2,FALSE)</f>
        <v>0</v>
      </c>
      <c r="R127" s="17">
        <v>0</v>
      </c>
      <c r="S127" s="17">
        <f t="shared" si="15"/>
        <v>0</v>
      </c>
      <c r="T127" s="19">
        <f t="shared" si="16"/>
        <v>-126550</v>
      </c>
      <c r="U127" s="20" t="str">
        <f t="shared" si="17"/>
        <v>AL DÍA</v>
      </c>
      <c r="V127" s="21">
        <f>VLOOKUP(B127,'[3]Deal List'!$F$4:$Q$302,8,FALSE)</f>
        <v>2</v>
      </c>
      <c r="W127" s="22" t="str">
        <f>VLOOKUP(B127,'[3]Deal List'!$F$4:$Q$302,9,FALSE)</f>
        <v>N/A</v>
      </c>
      <c r="X127" s="23">
        <f>VLOOKUP(B127,'[3]Deal List'!$F$4:$Q$302,12,FALSE)</f>
        <v>0</v>
      </c>
    </row>
    <row r="128" spans="1:24" x14ac:dyDescent="0.3">
      <c r="A128" s="9" t="s">
        <v>130</v>
      </c>
      <c r="B128" s="9">
        <v>1604</v>
      </c>
      <c r="C128" s="9" t="str">
        <f>VLOOKUP(B128,'[1]Matriz Precios A'!$B$3:$BN$301,2,FALSE)</f>
        <v>B1</v>
      </c>
      <c r="D128" s="10">
        <f>VLOOKUP(B128,'[1]Matriz Precios A'!$B$3:$BN$301,34,FALSE)</f>
        <v>894100</v>
      </c>
      <c r="E128" s="11">
        <f>VLOOKUP(B128,'[1]Matriz Precios A'!$B$3:$BN$301,3,FALSE)</f>
        <v>48.69</v>
      </c>
      <c r="F128" s="11">
        <v>0</v>
      </c>
      <c r="G128" s="12">
        <f>VLOOKUP(B128,'[1]Matriz Precios A'!$B$3:$BP$301,7,FALSE)</f>
        <v>1</v>
      </c>
      <c r="H128" s="13">
        <f t="shared" si="9"/>
        <v>12.5</v>
      </c>
      <c r="I128" s="13">
        <f>VLOOKUP(B128,'[1]Matriz Precios A'!$B$3:$BP$301,8,FALSE)</f>
        <v>0</v>
      </c>
      <c r="J128" s="11">
        <f t="shared" si="10"/>
        <v>0</v>
      </c>
      <c r="K128" s="13">
        <f t="shared" si="11"/>
        <v>0</v>
      </c>
      <c r="L128" s="11">
        <f t="shared" si="12"/>
        <v>61.19</v>
      </c>
      <c r="M128" s="14">
        <f>$H$196</f>
        <v>16800</v>
      </c>
      <c r="N128" s="14">
        <f t="shared" si="13"/>
        <v>1028000</v>
      </c>
      <c r="O128" s="14">
        <f t="shared" si="14"/>
        <v>133900</v>
      </c>
      <c r="P128" s="16">
        <v>89500</v>
      </c>
      <c r="Q128" s="16">
        <f>VLOOKUP(B128,[2]Sheet1!$C$2:$D$299,2,FALSE)</f>
        <v>89500</v>
      </c>
      <c r="R128" s="17">
        <v>89500</v>
      </c>
      <c r="S128" s="17">
        <f t="shared" si="15"/>
        <v>0</v>
      </c>
      <c r="T128" s="43">
        <f t="shared" si="16"/>
        <v>0</v>
      </c>
      <c r="U128" s="20" t="str">
        <f t="shared" si="17"/>
        <v>AL DÍA</v>
      </c>
      <c r="V128" s="21">
        <f>VLOOKUP(B128,'[3]Deal List'!$F$4:$Q$302,8,FALSE)</f>
        <v>1</v>
      </c>
      <c r="W128" s="22" t="str">
        <f>VLOOKUP(B128,'[3]Deal List'!$F$4:$Q$302,9,FALSE)</f>
        <v>APROBADA</v>
      </c>
      <c r="X128" s="23">
        <f>VLOOKUP(B128,'[3]Deal List'!$F$4:$Q$302,12,FALSE)</f>
        <v>0</v>
      </c>
    </row>
    <row r="129" spans="1:24" x14ac:dyDescent="0.3">
      <c r="A129" s="31" t="s">
        <v>131</v>
      </c>
      <c r="B129" s="29">
        <v>1705</v>
      </c>
      <c r="C129" s="9" t="str">
        <f>VLOOKUP(B129,'[1]Matriz Precios A'!$B$3:$BN$301,2,FALSE)</f>
        <v>D6</v>
      </c>
      <c r="D129" s="10">
        <f>VLOOKUP(B129,'[1]Matriz Precios A'!$B$3:$BN$301,34,FALSE)</f>
        <v>1446043.2379894699</v>
      </c>
      <c r="E129" s="11">
        <f>VLOOKUP(B129,'[1]Matriz Precios A'!$B$3:$BN$301,3,FALSE)</f>
        <v>66.73</v>
      </c>
      <c r="F129" s="11">
        <v>0</v>
      </c>
      <c r="G129" s="12">
        <f>VLOOKUP(B129,'[1]Matriz Precios A'!$B$3:$BP$301,7,FALSE)</f>
        <v>0</v>
      </c>
      <c r="H129" s="13">
        <f t="shared" si="9"/>
        <v>0</v>
      </c>
      <c r="I129" s="13">
        <f>VLOOKUP(B129,'[1]Matriz Precios A'!$B$3:$BP$301,8,FALSE)</f>
        <v>1</v>
      </c>
      <c r="J129" s="11">
        <f t="shared" si="10"/>
        <v>25</v>
      </c>
      <c r="K129" s="13">
        <f t="shared" si="11"/>
        <v>5.3</v>
      </c>
      <c r="L129" s="11">
        <f t="shared" si="12"/>
        <v>97.03</v>
      </c>
      <c r="M129" s="14">
        <f>$H$200</f>
        <v>14696.813977389518</v>
      </c>
      <c r="N129" s="14">
        <f t="shared" si="13"/>
        <v>1426100</v>
      </c>
      <c r="O129" s="32">
        <f t="shared" si="14"/>
        <v>-19943.237989469897</v>
      </c>
      <c r="P129" s="15">
        <v>144643.24</v>
      </c>
      <c r="Q129" s="16">
        <f>VLOOKUP(B129,[2]Sheet1!$C$2:$D$299,2,FALSE)</f>
        <v>144643.27000000002</v>
      </c>
      <c r="R129" s="17">
        <v>144643.27000000002</v>
      </c>
      <c r="S129" s="17">
        <f t="shared" si="15"/>
        <v>0</v>
      </c>
      <c r="T129" s="43">
        <f t="shared" si="16"/>
        <v>3.0000000027939677E-2</v>
      </c>
      <c r="U129" s="20" t="str">
        <f t="shared" si="17"/>
        <v>AL DÍA</v>
      </c>
      <c r="V129" s="21">
        <f>VLOOKUP(B129,'[3]Deal List'!$F$4:$Q$302,8,FALSE)</f>
        <v>2</v>
      </c>
      <c r="W129" s="22" t="str">
        <f>VLOOKUP(B129,'[3]Deal List'!$F$4:$Q$302,9,FALSE)</f>
        <v>APROBADA</v>
      </c>
      <c r="X129" s="23">
        <f>VLOOKUP(B129,'[3]Deal List'!$F$4:$Q$302,12,FALSE)</f>
        <v>0</v>
      </c>
    </row>
    <row r="130" spans="1:24" x14ac:dyDescent="0.3">
      <c r="A130" s="31" t="s">
        <v>132</v>
      </c>
      <c r="B130" s="27">
        <v>209</v>
      </c>
      <c r="C130" s="9" t="str">
        <f>VLOOKUP(B130,'[1]Matriz Precios A'!$B$3:$BN$301,2,FALSE)</f>
        <v>B4</v>
      </c>
      <c r="D130" s="10">
        <f>VLOOKUP(B130,'[1]Matriz Precios A'!$B$3:$BN$301,34,FALSE)</f>
        <v>1282411.1311242401</v>
      </c>
      <c r="E130" s="11">
        <f>VLOOKUP(B130,'[1]Matriz Precios A'!$B$3:$BN$301,3,FALSE)</f>
        <v>49.77</v>
      </c>
      <c r="F130" s="11">
        <v>0</v>
      </c>
      <c r="G130" s="12">
        <f>VLOOKUP(B130,'[1]Matriz Precios A'!$B$3:$BP$301,7,FALSE)</f>
        <v>0</v>
      </c>
      <c r="H130" s="13">
        <f t="shared" ref="H130:H189" si="18">IF(G130=1,12.5,0)</f>
        <v>0</v>
      </c>
      <c r="I130" s="13">
        <f>VLOOKUP(B130,'[1]Matriz Precios A'!$B$3:$BP$301,8,FALSE)</f>
        <v>1</v>
      </c>
      <c r="J130" s="11">
        <f t="shared" ref="J130:J189" si="19">IF(I130=1,25,0)</f>
        <v>25</v>
      </c>
      <c r="K130" s="13">
        <f t="shared" ref="K130:K189" si="20">IF(J130=25,5.3,0)</f>
        <v>5.3</v>
      </c>
      <c r="L130" s="11">
        <f t="shared" ref="L130:L189" si="21">E130+H130+J130+K130+F130</f>
        <v>80.070000000000007</v>
      </c>
      <c r="M130" s="14">
        <f>$H$197</f>
        <v>15691.158156911582</v>
      </c>
      <c r="N130" s="14">
        <f t="shared" ref="N130:N189" si="22">ROUNDUP(M130*L130,-2)</f>
        <v>1256400</v>
      </c>
      <c r="O130" s="32">
        <f t="shared" ref="O130:O189" si="23">N130-D130</f>
        <v>-26011.131124240113</v>
      </c>
      <c r="P130" s="15">
        <v>200104.18</v>
      </c>
      <c r="Q130" s="16">
        <f>VLOOKUP(B130,[2]Sheet1!$C$2:$D$299,2,FALSE)</f>
        <v>200104</v>
      </c>
      <c r="R130" s="17">
        <v>200104.18</v>
      </c>
      <c r="S130" s="17">
        <f t="shared" ref="S130:S189" si="24">R130-Q130</f>
        <v>0.17999999999301508</v>
      </c>
      <c r="T130" s="43">
        <f t="shared" ref="T130:T189" si="25">+R130-P130</f>
        <v>0</v>
      </c>
      <c r="U130" s="20" t="str">
        <f t="shared" si="17"/>
        <v>AL DÍA</v>
      </c>
      <c r="V130" s="21">
        <f>VLOOKUP(B130,'[3]Deal List'!$F$4:$Q$302,8,FALSE)</f>
        <v>3</v>
      </c>
      <c r="W130" s="22" t="str">
        <f>VLOOKUP(B130,'[3]Deal List'!$F$4:$Q$302,9,FALSE)</f>
        <v>APROBADA</v>
      </c>
      <c r="X130" s="23">
        <f>VLOOKUP(B130,'[3]Deal List'!$F$4:$Q$302,12,FALSE)</f>
        <v>0</v>
      </c>
    </row>
    <row r="131" spans="1:24" x14ac:dyDescent="0.3">
      <c r="A131" s="9" t="s">
        <v>133</v>
      </c>
      <c r="B131" s="28">
        <v>1004</v>
      </c>
      <c r="C131" s="9" t="str">
        <f>VLOOKUP(B131,'[1]Matriz Precios A'!$B$3:$BN$301,2,FALSE)</f>
        <v>A1</v>
      </c>
      <c r="D131" s="10">
        <f>VLOOKUP(B131,'[1]Matriz Precios A'!$B$3:$BN$301,34,FALSE)</f>
        <v>696469.08</v>
      </c>
      <c r="E131" s="11">
        <f>VLOOKUP(B131,'[1]Matriz Precios A'!$B$3:$BN$301,3,FALSE)</f>
        <v>35.85</v>
      </c>
      <c r="F131" s="11">
        <v>0</v>
      </c>
      <c r="G131" s="12">
        <f>VLOOKUP(B131,'[1]Matriz Precios A'!$B$3:$BP$301,7,FALSE)</f>
        <v>1</v>
      </c>
      <c r="H131" s="13">
        <f t="shared" si="18"/>
        <v>12.5</v>
      </c>
      <c r="I131" s="13">
        <f>VLOOKUP(B131,'[1]Matriz Precios A'!$B$3:$BP$301,8,FALSE)</f>
        <v>0</v>
      </c>
      <c r="J131" s="11">
        <f t="shared" si="19"/>
        <v>0</v>
      </c>
      <c r="K131" s="13">
        <f t="shared" si="20"/>
        <v>0</v>
      </c>
      <c r="L131" s="11">
        <f t="shared" si="21"/>
        <v>48.35</v>
      </c>
      <c r="M131" s="14">
        <f>$H$195</f>
        <v>18865.9793814433</v>
      </c>
      <c r="N131" s="14">
        <f t="shared" si="22"/>
        <v>912200</v>
      </c>
      <c r="O131" s="14">
        <f t="shared" si="23"/>
        <v>215730.92000000004</v>
      </c>
      <c r="P131" s="16">
        <v>69669.08</v>
      </c>
      <c r="Q131" s="16">
        <f>VLOOKUP(B131,[2]Sheet1!$C$2:$D$299,2,FALSE)</f>
        <v>69669.08</v>
      </c>
      <c r="R131" s="17">
        <v>69670.080000000002</v>
      </c>
      <c r="S131" s="17">
        <f t="shared" si="24"/>
        <v>1</v>
      </c>
      <c r="T131" s="43">
        <f t="shared" si="25"/>
        <v>1</v>
      </c>
      <c r="U131" s="20" t="str">
        <f t="shared" ref="U131:U189" si="26">IF(S131&lt;0,"ATRASADO", "AL DÍA")</f>
        <v>AL DÍA</v>
      </c>
      <c r="V131" s="21">
        <f>VLOOKUP(B131,'[3]Deal List'!$F$4:$Q$302,8,FALSE)</f>
        <v>1</v>
      </c>
      <c r="W131" s="22" t="str">
        <f>VLOOKUP(B131,'[3]Deal List'!$F$4:$Q$302,9,FALSE)</f>
        <v>APROBADA</v>
      </c>
      <c r="X131" s="23">
        <f>VLOOKUP(B131,'[3]Deal List'!$F$4:$Q$302,12,FALSE)</f>
        <v>0</v>
      </c>
    </row>
    <row r="132" spans="1:24" x14ac:dyDescent="0.3">
      <c r="A132" s="27" t="s">
        <v>134</v>
      </c>
      <c r="B132" s="27">
        <v>509</v>
      </c>
      <c r="C132" s="9" t="str">
        <f>VLOOKUP(B132,'[1]Matriz Precios A'!$B$3:$BN$301,2,FALSE)</f>
        <v>C5</v>
      </c>
      <c r="D132" s="10">
        <f>VLOOKUP(B132,'[1]Matriz Precios A'!$B$3:$BN$301,34,FALSE)</f>
        <v>1181561.5</v>
      </c>
      <c r="E132" s="11">
        <f>VLOOKUP(B132,'[1]Matriz Precios A'!$B$3:$BN$301,3,FALSE)</f>
        <v>54.86</v>
      </c>
      <c r="F132" s="11">
        <v>0</v>
      </c>
      <c r="G132" s="12">
        <f>VLOOKUP(B132,'[1]Matriz Precios A'!$B$3:$BP$301,7,FALSE)</f>
        <v>0</v>
      </c>
      <c r="H132" s="13">
        <f t="shared" si="18"/>
        <v>0</v>
      </c>
      <c r="I132" s="13">
        <f>VLOOKUP(B132,'[1]Matriz Precios A'!$B$3:$BP$301,8,FALSE)</f>
        <v>1</v>
      </c>
      <c r="J132" s="11">
        <f t="shared" si="19"/>
        <v>25</v>
      </c>
      <c r="K132" s="13">
        <f t="shared" si="20"/>
        <v>5.3</v>
      </c>
      <c r="L132" s="11">
        <f t="shared" si="21"/>
        <v>85.16</v>
      </c>
      <c r="M132" s="14">
        <f>$H$199</f>
        <v>15826.494724501759</v>
      </c>
      <c r="N132" s="14">
        <f t="shared" si="22"/>
        <v>1347800</v>
      </c>
      <c r="O132" s="14">
        <f t="shared" si="23"/>
        <v>166238.5</v>
      </c>
      <c r="P132" s="15">
        <v>118161.5</v>
      </c>
      <c r="Q132" s="16">
        <f>VLOOKUP(B132,[2]Sheet1!$C$2:$D$299,2,FALSE)</f>
        <v>118161.5</v>
      </c>
      <c r="R132" s="17">
        <v>118165</v>
      </c>
      <c r="S132" s="17">
        <f t="shared" si="24"/>
        <v>3.5</v>
      </c>
      <c r="T132" s="43">
        <f t="shared" si="25"/>
        <v>3.5</v>
      </c>
      <c r="U132" s="20" t="str">
        <f t="shared" si="26"/>
        <v>AL DÍA</v>
      </c>
      <c r="V132" s="21">
        <f>VLOOKUP(B132,'[3]Deal List'!$F$4:$Q$302,8,FALSE)</f>
        <v>2</v>
      </c>
      <c r="W132" s="22" t="str">
        <f>VLOOKUP(B132,'[3]Deal List'!$F$4:$Q$302,9,FALSE)</f>
        <v>APROBADA</v>
      </c>
      <c r="X132" s="23" t="str">
        <f>VLOOKUP(B132,'[3]Deal List'!$F$4:$Q$302,12,FALSE)</f>
        <v>condicionada a que Anabella Alburez presente finiquito por calificación C de la SIB en febrero 2025.</v>
      </c>
    </row>
    <row r="133" spans="1:24" x14ac:dyDescent="0.3">
      <c r="A133" s="22" t="s">
        <v>135</v>
      </c>
      <c r="B133" s="22">
        <v>1802</v>
      </c>
      <c r="C133" s="9" t="str">
        <f>VLOOKUP(B133,'[1]Matriz Precios A'!$B$3:$BN$301,2,FALSE)</f>
        <v>A10</v>
      </c>
      <c r="D133" s="10">
        <f>VLOOKUP(B133,'[1]Matriz Precios A'!$B$3:$BN$301,34,FALSE)</f>
        <v>848900</v>
      </c>
      <c r="E133" s="11">
        <f>VLOOKUP(B133,'[1]Matriz Precios A'!$B$3:$BN$301,3,FALSE)</f>
        <v>44.7</v>
      </c>
      <c r="F133" s="11">
        <v>0</v>
      </c>
      <c r="G133" s="12">
        <f>VLOOKUP(B133,'[1]Matriz Precios A'!$B$3:$BP$301,7,FALSE)</f>
        <v>1</v>
      </c>
      <c r="H133" s="13">
        <f t="shared" si="18"/>
        <v>12.5</v>
      </c>
      <c r="I133" s="13">
        <f>VLOOKUP(B133,'[1]Matriz Precios A'!$B$3:$BP$301,8,FALSE)</f>
        <v>0</v>
      </c>
      <c r="J133" s="11">
        <f t="shared" si="19"/>
        <v>0</v>
      </c>
      <c r="K133" s="13">
        <f t="shared" si="20"/>
        <v>0</v>
      </c>
      <c r="L133" s="11">
        <f t="shared" si="21"/>
        <v>57.2</v>
      </c>
      <c r="M133" s="14">
        <f>$H$195</f>
        <v>18865.9793814433</v>
      </c>
      <c r="N133" s="14">
        <f t="shared" si="22"/>
        <v>1079200</v>
      </c>
      <c r="O133" s="14">
        <f t="shared" si="23"/>
        <v>230300</v>
      </c>
      <c r="P133" s="16">
        <v>84900</v>
      </c>
      <c r="Q133" s="16">
        <f>VLOOKUP(B133,[2]Sheet1!$C$2:$D$299,2,FALSE)</f>
        <v>84900</v>
      </c>
      <c r="R133" s="17">
        <v>84904</v>
      </c>
      <c r="S133" s="17">
        <f t="shared" si="24"/>
        <v>4</v>
      </c>
      <c r="T133" s="43">
        <f t="shared" si="25"/>
        <v>4</v>
      </c>
      <c r="U133" s="20" t="str">
        <f t="shared" si="26"/>
        <v>AL DÍA</v>
      </c>
      <c r="V133" s="21">
        <f>VLOOKUP(B133,'[3]Deal List'!$F$4:$Q$302,8,FALSE)</f>
        <v>1</v>
      </c>
      <c r="W133" s="22" t="str">
        <f>VLOOKUP(B133,'[3]Deal List'!$F$4:$Q$302,9,FALSE)</f>
        <v>APROBADA</v>
      </c>
      <c r="X133" s="23">
        <f>VLOOKUP(B133,'[3]Deal List'!$F$4:$Q$302,12,FALSE)</f>
        <v>0</v>
      </c>
    </row>
    <row r="134" spans="1:24" x14ac:dyDescent="0.3">
      <c r="A134" s="29" t="s">
        <v>136</v>
      </c>
      <c r="B134" s="29">
        <v>313</v>
      </c>
      <c r="C134" s="9" t="str">
        <f>VLOOKUP(B134,'[1]Matriz Precios A'!$B$3:$BN$301,2,FALSE)</f>
        <v>B4</v>
      </c>
      <c r="D134" s="10">
        <f>VLOOKUP(B134,'[1]Matriz Precios A'!$B$3:$BN$301,34,FALSE)</f>
        <v>1087400</v>
      </c>
      <c r="E134" s="11">
        <f>VLOOKUP(B134,'[1]Matriz Precios A'!$B$3:$BN$301,3,FALSE)</f>
        <v>49.77</v>
      </c>
      <c r="F134" s="11">
        <v>0</v>
      </c>
      <c r="G134" s="12">
        <f>VLOOKUP(B134,'[1]Matriz Precios A'!$B$3:$BP$301,7,FALSE)</f>
        <v>0</v>
      </c>
      <c r="H134" s="13">
        <f t="shared" si="18"/>
        <v>0</v>
      </c>
      <c r="I134" s="13">
        <f>VLOOKUP(B134,'[1]Matriz Precios A'!$B$3:$BP$301,8,FALSE)</f>
        <v>1</v>
      </c>
      <c r="J134" s="11">
        <f t="shared" si="19"/>
        <v>25</v>
      </c>
      <c r="K134" s="13">
        <f t="shared" si="20"/>
        <v>5.3</v>
      </c>
      <c r="L134" s="11">
        <f t="shared" si="21"/>
        <v>80.070000000000007</v>
      </c>
      <c r="M134" s="14">
        <f>$H$197</f>
        <v>15691.158156911582</v>
      </c>
      <c r="N134" s="14">
        <f t="shared" si="22"/>
        <v>1256400</v>
      </c>
      <c r="O134" s="14">
        <f t="shared" si="23"/>
        <v>169000</v>
      </c>
      <c r="P134" s="15">
        <v>108800</v>
      </c>
      <c r="Q134" s="16">
        <f>VLOOKUP(B134,[2]Sheet1!$C$2:$D$299,2,FALSE)</f>
        <v>108800</v>
      </c>
      <c r="R134" s="17">
        <v>108807</v>
      </c>
      <c r="S134" s="17">
        <f t="shared" si="24"/>
        <v>7</v>
      </c>
      <c r="T134" s="43">
        <f t="shared" si="25"/>
        <v>7</v>
      </c>
      <c r="U134" s="20" t="str">
        <f t="shared" si="26"/>
        <v>AL DÍA</v>
      </c>
      <c r="V134" s="21">
        <f>VLOOKUP(B134,'[3]Deal List'!$F$4:$Q$302,8,FALSE)</f>
        <v>2</v>
      </c>
      <c r="W134" s="22" t="str">
        <f>VLOOKUP(B134,'[3]Deal List'!$F$4:$Q$302,9,FALSE)</f>
        <v>APROBADA</v>
      </c>
      <c r="X134" s="23">
        <f>VLOOKUP(B134,'[3]Deal List'!$F$4:$Q$302,12,FALSE)</f>
        <v>0</v>
      </c>
    </row>
    <row r="135" spans="1:24" x14ac:dyDescent="0.3">
      <c r="A135" s="29" t="s">
        <v>137</v>
      </c>
      <c r="B135" s="27">
        <v>1308</v>
      </c>
      <c r="C135" s="9" t="str">
        <f>VLOOKUP(B135,'[1]Matriz Precios A'!$B$3:$BN$301,2,FALSE)</f>
        <v>C6</v>
      </c>
      <c r="D135" s="10">
        <f>VLOOKUP(B135,'[1]Matriz Precios A'!$B$3:$BN$301,34,FALSE)</f>
        <v>1183693</v>
      </c>
      <c r="E135" s="11">
        <f>VLOOKUP(B135,'[1]Matriz Precios A'!$B$3:$BN$301,3,FALSE)</f>
        <v>55</v>
      </c>
      <c r="F135" s="11">
        <v>0</v>
      </c>
      <c r="G135" s="12">
        <f>VLOOKUP(B135,'[1]Matriz Precios A'!$B$3:$BP$301,7,FALSE)</f>
        <v>0</v>
      </c>
      <c r="H135" s="13">
        <f t="shared" si="18"/>
        <v>0</v>
      </c>
      <c r="I135" s="13">
        <f>VLOOKUP(B135,'[1]Matriz Precios A'!$B$3:$BP$301,8,FALSE)</f>
        <v>1</v>
      </c>
      <c r="J135" s="11">
        <f t="shared" si="19"/>
        <v>25</v>
      </c>
      <c r="K135" s="13">
        <f t="shared" si="20"/>
        <v>5.3</v>
      </c>
      <c r="L135" s="11">
        <f t="shared" si="21"/>
        <v>85.3</v>
      </c>
      <c r="M135" s="14">
        <f>$H$199</f>
        <v>15826.494724501759</v>
      </c>
      <c r="N135" s="14">
        <f t="shared" si="22"/>
        <v>1350000</v>
      </c>
      <c r="O135" s="14">
        <f t="shared" si="23"/>
        <v>166307</v>
      </c>
      <c r="P135" s="15">
        <v>118393</v>
      </c>
      <c r="Q135" s="16">
        <f>VLOOKUP(B135,[2]Sheet1!$C$2:$D$299,2,FALSE)</f>
        <v>118393</v>
      </c>
      <c r="R135" s="17">
        <v>118400</v>
      </c>
      <c r="S135" s="17">
        <f t="shared" si="24"/>
        <v>7</v>
      </c>
      <c r="T135" s="43">
        <f t="shared" si="25"/>
        <v>7</v>
      </c>
      <c r="U135" s="20" t="str">
        <f t="shared" si="26"/>
        <v>AL DÍA</v>
      </c>
      <c r="V135" s="21">
        <f>VLOOKUP(B135,'[3]Deal List'!$F$4:$Q$302,8,FALSE)</f>
        <v>2</v>
      </c>
      <c r="W135" s="22" t="str">
        <f>VLOOKUP(B135,'[3]Deal List'!$F$4:$Q$302,9,FALSE)</f>
        <v>APROBADA</v>
      </c>
      <c r="X135" s="23">
        <f>VLOOKUP(B135,'[3]Deal List'!$F$4:$Q$302,12,FALSE)</f>
        <v>0</v>
      </c>
    </row>
    <row r="136" spans="1:24" x14ac:dyDescent="0.3">
      <c r="A136" s="9" t="s">
        <v>138</v>
      </c>
      <c r="B136" s="9">
        <v>1013</v>
      </c>
      <c r="C136" s="9" t="str">
        <f>VLOOKUP(B136,'[1]Matriz Precios A'!$B$3:$BN$301,2,FALSE)</f>
        <v>B6</v>
      </c>
      <c r="D136" s="10">
        <f>VLOOKUP(B136,'[1]Matriz Precios A'!$B$3:$BN$301,34,FALSE)</f>
        <v>903600</v>
      </c>
      <c r="E136" s="11">
        <f>VLOOKUP(B136,'[1]Matriz Precios A'!$B$3:$BN$301,3,FALSE)</f>
        <v>50.03</v>
      </c>
      <c r="F136" s="11">
        <v>0</v>
      </c>
      <c r="G136" s="12">
        <f>VLOOKUP(B136,'[1]Matriz Precios A'!$B$3:$BP$301,7,FALSE)</f>
        <v>1</v>
      </c>
      <c r="H136" s="13">
        <f t="shared" si="18"/>
        <v>12.5</v>
      </c>
      <c r="I136" s="13">
        <f>VLOOKUP(B136,'[1]Matriz Precios A'!$B$3:$BP$301,8,FALSE)</f>
        <v>0</v>
      </c>
      <c r="J136" s="11">
        <f t="shared" si="19"/>
        <v>0</v>
      </c>
      <c r="K136" s="13">
        <f t="shared" si="20"/>
        <v>0</v>
      </c>
      <c r="L136" s="11">
        <f t="shared" si="21"/>
        <v>62.53</v>
      </c>
      <c r="M136" s="14">
        <f>$H$196</f>
        <v>16800</v>
      </c>
      <c r="N136" s="14">
        <f t="shared" si="22"/>
        <v>1050600</v>
      </c>
      <c r="O136" s="14">
        <f t="shared" si="23"/>
        <v>147000</v>
      </c>
      <c r="P136" s="16">
        <v>90400</v>
      </c>
      <c r="Q136" s="16">
        <f>VLOOKUP(B136,[2]Sheet1!$C$2:$D$299,2,FALSE)</f>
        <v>90400</v>
      </c>
      <c r="R136" s="17">
        <v>90408</v>
      </c>
      <c r="S136" s="17">
        <f t="shared" si="24"/>
        <v>8</v>
      </c>
      <c r="T136" s="43">
        <f t="shared" si="25"/>
        <v>8</v>
      </c>
      <c r="U136" s="20" t="str">
        <f t="shared" si="26"/>
        <v>AL DÍA</v>
      </c>
      <c r="V136" s="21">
        <f>VLOOKUP(B136,'[3]Deal List'!$F$4:$Q$302,8,FALSE)</f>
        <v>2</v>
      </c>
      <c r="W136" s="22" t="str">
        <f>VLOOKUP(B136,'[3]Deal List'!$F$4:$Q$302,9,FALSE)</f>
        <v>APROBADA</v>
      </c>
      <c r="X136" s="23">
        <f>VLOOKUP(B136,'[3]Deal List'!$F$4:$Q$302,12,FALSE)</f>
        <v>0</v>
      </c>
    </row>
    <row r="137" spans="1:24" x14ac:dyDescent="0.3">
      <c r="A137" s="27" t="s">
        <v>139</v>
      </c>
      <c r="B137" s="27">
        <v>316</v>
      </c>
      <c r="C137" s="9" t="str">
        <f>VLOOKUP(B137,'[1]Matriz Precios A'!$B$3:$BN$301,2,FALSE)</f>
        <v>A4</v>
      </c>
      <c r="D137" s="10">
        <f>VLOOKUP(B137,'[1]Matriz Precios A'!$B$3:$BN$301,34,FALSE)</f>
        <v>708396.44</v>
      </c>
      <c r="E137" s="11">
        <f>VLOOKUP(B137,'[1]Matriz Precios A'!$B$3:$BN$301,3,FALSE)</f>
        <v>35.549999999999997</v>
      </c>
      <c r="F137" s="11">
        <v>0</v>
      </c>
      <c r="G137" s="12">
        <f>VLOOKUP(B137,'[1]Matriz Precios A'!$B$3:$BP$301,7,FALSE)</f>
        <v>1</v>
      </c>
      <c r="H137" s="13">
        <f t="shared" si="18"/>
        <v>12.5</v>
      </c>
      <c r="I137" s="13">
        <f>VLOOKUP(B137,'[1]Matriz Precios A'!$B$3:$BP$301,8,FALSE)</f>
        <v>0</v>
      </c>
      <c r="J137" s="11">
        <f t="shared" si="19"/>
        <v>0</v>
      </c>
      <c r="K137" s="13">
        <f t="shared" si="20"/>
        <v>0</v>
      </c>
      <c r="L137" s="11">
        <f t="shared" si="21"/>
        <v>48.05</v>
      </c>
      <c r="M137" s="30">
        <f>$H$195</f>
        <v>18865.9793814433</v>
      </c>
      <c r="N137" s="14">
        <f t="shared" si="22"/>
        <v>906600</v>
      </c>
      <c r="O137" s="14">
        <f t="shared" si="23"/>
        <v>198203.56000000006</v>
      </c>
      <c r="P137" s="15">
        <v>70896.44</v>
      </c>
      <c r="Q137" s="16">
        <f>VLOOKUP(B137,[2]Sheet1!$C$2:$D$299,2,FALSE)</f>
        <v>70896.44</v>
      </c>
      <c r="R137" s="17">
        <v>70905</v>
      </c>
      <c r="S137" s="17">
        <f t="shared" si="24"/>
        <v>8.5599999999976717</v>
      </c>
      <c r="T137" s="43">
        <f t="shared" si="25"/>
        <v>8.5599999999976717</v>
      </c>
      <c r="U137" s="20" t="str">
        <f t="shared" si="26"/>
        <v>AL DÍA</v>
      </c>
      <c r="V137" s="21">
        <f>VLOOKUP(B137,'[3]Deal List'!$F$4:$Q$302,8,FALSE)</f>
        <v>4</v>
      </c>
      <c r="W137" s="22" t="str">
        <f>VLOOKUP(B137,'[3]Deal List'!$F$4:$Q$302,9,FALSE)</f>
        <v>APROBADA</v>
      </c>
      <c r="X137" s="23">
        <f>VLOOKUP(B137,'[3]Deal List'!$F$4:$Q$302,12,FALSE)</f>
        <v>0</v>
      </c>
    </row>
    <row r="138" spans="1:24" x14ac:dyDescent="0.3">
      <c r="A138" s="27" t="s">
        <v>140</v>
      </c>
      <c r="B138" s="27">
        <v>607</v>
      </c>
      <c r="C138" s="9" t="str">
        <f>VLOOKUP(B138,'[1]Matriz Precios A'!$B$3:$BN$301,2,FALSE)</f>
        <v>A12</v>
      </c>
      <c r="D138" s="10">
        <f>VLOOKUP(B138,'[1]Matriz Precios A'!$B$3:$BN$301,34,FALSE)</f>
        <v>771274</v>
      </c>
      <c r="E138" s="11">
        <f>VLOOKUP(B138,'[1]Matriz Precios A'!$B$3:$BN$301,3,FALSE)</f>
        <v>37.17</v>
      </c>
      <c r="F138" s="11">
        <v>0</v>
      </c>
      <c r="G138" s="12">
        <f>VLOOKUP(B138,'[1]Matriz Precios A'!$B$3:$BP$301,7,FALSE)</f>
        <v>1</v>
      </c>
      <c r="H138" s="13">
        <f t="shared" si="18"/>
        <v>12.5</v>
      </c>
      <c r="I138" s="13">
        <f>VLOOKUP(B138,'[1]Matriz Precios A'!$B$3:$BP$301,8,FALSE)</f>
        <v>0</v>
      </c>
      <c r="J138" s="11">
        <f t="shared" si="19"/>
        <v>0</v>
      </c>
      <c r="K138" s="13">
        <f t="shared" si="20"/>
        <v>0</v>
      </c>
      <c r="L138" s="11">
        <f t="shared" si="21"/>
        <v>49.67</v>
      </c>
      <c r="M138" s="30">
        <f>$H$195</f>
        <v>18865.9793814433</v>
      </c>
      <c r="N138" s="14">
        <f t="shared" si="22"/>
        <v>937100</v>
      </c>
      <c r="O138" s="14">
        <f t="shared" si="23"/>
        <v>165826</v>
      </c>
      <c r="P138" s="15">
        <v>77174</v>
      </c>
      <c r="Q138" s="16">
        <f>VLOOKUP(B138,[2]Sheet1!$C$2:$D$299,2,FALSE)</f>
        <v>61670</v>
      </c>
      <c r="R138" s="17">
        <v>61679</v>
      </c>
      <c r="S138" s="17">
        <f t="shared" si="24"/>
        <v>9</v>
      </c>
      <c r="T138" s="19">
        <f t="shared" si="25"/>
        <v>-15495</v>
      </c>
      <c r="U138" s="20" t="str">
        <f t="shared" si="26"/>
        <v>AL DÍA</v>
      </c>
      <c r="V138" s="21">
        <f>VLOOKUP(B138,'[3]Deal List'!$F$4:$Q$302,8,FALSE)</f>
        <v>2</v>
      </c>
      <c r="W138" s="22" t="str">
        <f>VLOOKUP(B138,'[3]Deal List'!$F$4:$Q$302,9,FALSE)</f>
        <v>DENEGADA</v>
      </c>
      <c r="X138" s="23" t="str">
        <f>VLOOKUP(B138,'[3]Deal List'!$F$4:$Q$302,12,FALSE)</f>
        <v>Madlyn no posee NIT, Antony participando solo no tiene capacidad de pago.</v>
      </c>
    </row>
    <row r="139" spans="1:24" x14ac:dyDescent="0.3">
      <c r="A139" s="28" t="s">
        <v>141</v>
      </c>
      <c r="B139" s="28">
        <v>613</v>
      </c>
      <c r="C139" s="9" t="str">
        <f>VLOOKUP(B139,'[1]Matriz Precios A'!$B$3:$BN$301,2,FALSE)</f>
        <v>A2</v>
      </c>
      <c r="D139" s="10">
        <f>VLOOKUP(B139,'[1]Matriz Precios A'!$B$3:$BN$301,34,FALSE)</f>
        <v>687500</v>
      </c>
      <c r="E139" s="11">
        <f>VLOOKUP(B139,'[1]Matriz Precios A'!$B$3:$BN$301,3,FALSE)</f>
        <v>34.9</v>
      </c>
      <c r="F139" s="11">
        <v>0</v>
      </c>
      <c r="G139" s="12">
        <f>VLOOKUP(B139,'[1]Matriz Precios A'!$B$3:$BP$301,7,FALSE)</f>
        <v>1</v>
      </c>
      <c r="H139" s="13">
        <f t="shared" si="18"/>
        <v>12.5</v>
      </c>
      <c r="I139" s="13">
        <f>VLOOKUP(B139,'[1]Matriz Precios A'!$B$3:$BP$301,8,FALSE)</f>
        <v>0</v>
      </c>
      <c r="J139" s="11">
        <f t="shared" si="19"/>
        <v>0</v>
      </c>
      <c r="K139" s="13">
        <f t="shared" si="20"/>
        <v>0</v>
      </c>
      <c r="L139" s="11">
        <f t="shared" si="21"/>
        <v>47.4</v>
      </c>
      <c r="M139" s="14">
        <f>$H$195</f>
        <v>18865.9793814433</v>
      </c>
      <c r="N139" s="14">
        <f t="shared" si="22"/>
        <v>894300</v>
      </c>
      <c r="O139" s="14">
        <f t="shared" si="23"/>
        <v>206800</v>
      </c>
      <c r="P139" s="16">
        <v>68800</v>
      </c>
      <c r="Q139" s="16">
        <f>VLOOKUP(B139,[2]Sheet1!$C$2:$D$299,2,FALSE)</f>
        <v>68800</v>
      </c>
      <c r="R139" s="17">
        <v>68810</v>
      </c>
      <c r="S139" s="17">
        <f t="shared" si="24"/>
        <v>10</v>
      </c>
      <c r="T139" s="43">
        <f t="shared" si="25"/>
        <v>10</v>
      </c>
      <c r="U139" s="20" t="str">
        <f t="shared" si="26"/>
        <v>AL DÍA</v>
      </c>
      <c r="V139" s="21">
        <f>VLOOKUP(B139,'[3]Deal List'!$F$4:$Q$302,8,FALSE)</f>
        <v>4</v>
      </c>
      <c r="W139" s="22" t="str">
        <f>VLOOKUP(B139,'[3]Deal List'!$F$4:$Q$302,9,FALSE)</f>
        <v>APROBADA</v>
      </c>
      <c r="X139" s="23">
        <f>VLOOKUP(B139,'[3]Deal List'!$F$4:$Q$302,12,FALSE)</f>
        <v>0</v>
      </c>
    </row>
    <row r="140" spans="1:24" x14ac:dyDescent="0.3">
      <c r="A140" s="27" t="s">
        <v>142</v>
      </c>
      <c r="B140" s="27">
        <v>914</v>
      </c>
      <c r="C140" s="9" t="str">
        <f>VLOOKUP(B140,'[1]Matriz Precios A'!$B$3:$BN$301,2,FALSE)</f>
        <v>B1</v>
      </c>
      <c r="D140" s="10">
        <f>VLOOKUP(B140,'[1]Matriz Precios A'!$B$3:$BN$301,34,FALSE)</f>
        <v>883300</v>
      </c>
      <c r="E140" s="11">
        <f>VLOOKUP(B140,'[1]Matriz Precios A'!$B$3:$BN$301,3,FALSE)</f>
        <v>48.69</v>
      </c>
      <c r="F140" s="11">
        <v>0</v>
      </c>
      <c r="G140" s="12">
        <f>VLOOKUP(B140,'[1]Matriz Precios A'!$B$3:$BP$301,7,FALSE)</f>
        <v>1</v>
      </c>
      <c r="H140" s="13">
        <f t="shared" si="18"/>
        <v>12.5</v>
      </c>
      <c r="I140" s="13">
        <f>VLOOKUP(B140,'[1]Matriz Precios A'!$B$3:$BP$301,8,FALSE)</f>
        <v>0</v>
      </c>
      <c r="J140" s="11">
        <f t="shared" si="19"/>
        <v>0</v>
      </c>
      <c r="K140" s="13">
        <f t="shared" si="20"/>
        <v>0</v>
      </c>
      <c r="L140" s="11">
        <f t="shared" si="21"/>
        <v>61.19</v>
      </c>
      <c r="M140" s="14">
        <f>$H$196</f>
        <v>16800</v>
      </c>
      <c r="N140" s="14">
        <f t="shared" si="22"/>
        <v>1028000</v>
      </c>
      <c r="O140" s="14">
        <f t="shared" si="23"/>
        <v>144700</v>
      </c>
      <c r="P140" s="15">
        <v>88400</v>
      </c>
      <c r="Q140" s="16">
        <f>VLOOKUP(B140,[2]Sheet1!$C$2:$D$299,2,FALSE)</f>
        <v>88400</v>
      </c>
      <c r="R140" s="17">
        <v>88420</v>
      </c>
      <c r="S140" s="17">
        <f t="shared" si="24"/>
        <v>20</v>
      </c>
      <c r="T140" s="43">
        <f t="shared" si="25"/>
        <v>20</v>
      </c>
      <c r="U140" s="20" t="str">
        <f t="shared" si="26"/>
        <v>AL DÍA</v>
      </c>
      <c r="V140" s="21">
        <f>VLOOKUP(B140,'[3]Deal List'!$F$4:$Q$302,8,FALSE)</f>
        <v>2</v>
      </c>
      <c r="W140" s="22" t="str">
        <f>VLOOKUP(B140,'[3]Deal List'!$F$4:$Q$302,9,FALSE)</f>
        <v>DENEGADA</v>
      </c>
      <c r="X140" s="23" t="str">
        <f>VLOOKUP(B140,'[3]Deal List'!$F$4:$Q$302,12,FALSE)</f>
        <v>Cliente posee un RCI superior al 100% (TCs por Q394 mil)</v>
      </c>
    </row>
    <row r="141" spans="1:24" x14ac:dyDescent="0.3">
      <c r="A141" s="22" t="s">
        <v>133</v>
      </c>
      <c r="B141" s="28">
        <v>904</v>
      </c>
      <c r="C141" s="9" t="str">
        <f>VLOOKUP(B141,'[1]Matriz Precios A'!$B$3:$BN$301,2,FALSE)</f>
        <v>A1</v>
      </c>
      <c r="D141" s="10">
        <f>VLOOKUP(B141,'[1]Matriz Precios A'!$B$3:$BN$301,34,FALSE)</f>
        <v>696469.08</v>
      </c>
      <c r="E141" s="11">
        <f>VLOOKUP(B141,'[1]Matriz Precios A'!$B$3:$BN$301,3,FALSE)</f>
        <v>35.85</v>
      </c>
      <c r="F141" s="11">
        <v>0</v>
      </c>
      <c r="G141" s="12">
        <f>VLOOKUP(B141,'[1]Matriz Precios A'!$B$3:$BP$301,7,FALSE)</f>
        <v>1</v>
      </c>
      <c r="H141" s="13">
        <f t="shared" si="18"/>
        <v>12.5</v>
      </c>
      <c r="I141" s="13">
        <f>VLOOKUP(B141,'[1]Matriz Precios A'!$B$3:$BP$301,8,FALSE)</f>
        <v>0</v>
      </c>
      <c r="J141" s="11">
        <f t="shared" si="19"/>
        <v>0</v>
      </c>
      <c r="K141" s="13">
        <f t="shared" si="20"/>
        <v>0</v>
      </c>
      <c r="L141" s="11">
        <f t="shared" si="21"/>
        <v>48.35</v>
      </c>
      <c r="M141" s="14">
        <f>$H$195</f>
        <v>18865.9793814433</v>
      </c>
      <c r="N141" s="14">
        <f t="shared" si="22"/>
        <v>912200</v>
      </c>
      <c r="O141" s="14">
        <f t="shared" si="23"/>
        <v>215730.92000000004</v>
      </c>
      <c r="P141" s="16">
        <v>69669.08</v>
      </c>
      <c r="Q141" s="16">
        <f>VLOOKUP(B141,[2]Sheet1!$C$2:$D$299,2,FALSE)</f>
        <v>69669.08</v>
      </c>
      <c r="R141" s="17">
        <v>69731.08</v>
      </c>
      <c r="S141" s="17">
        <f t="shared" si="24"/>
        <v>62</v>
      </c>
      <c r="T141" s="43">
        <f t="shared" si="25"/>
        <v>62</v>
      </c>
      <c r="U141" s="20" t="str">
        <f t="shared" si="26"/>
        <v>AL DÍA</v>
      </c>
      <c r="V141" s="21">
        <f>VLOOKUP(B141,'[3]Deal List'!$F$4:$Q$302,8,FALSE)</f>
        <v>1</v>
      </c>
      <c r="W141" s="22" t="str">
        <f>VLOOKUP(B141,'[3]Deal List'!$F$4:$Q$302,9,FALSE)</f>
        <v>APROBADA</v>
      </c>
      <c r="X141" s="23">
        <f>VLOOKUP(B141,'[3]Deal List'!$F$4:$Q$302,12,FALSE)</f>
        <v>0</v>
      </c>
    </row>
    <row r="142" spans="1:24" x14ac:dyDescent="0.3">
      <c r="A142" s="29" t="s">
        <v>143</v>
      </c>
      <c r="B142" s="27">
        <v>601</v>
      </c>
      <c r="C142" s="9" t="str">
        <f>VLOOKUP(B142,'[1]Matriz Precios A'!$B$3:$BN$301,2,FALSE)</f>
        <v>E9</v>
      </c>
      <c r="D142" s="10">
        <f>VLOOKUP(B142,'[1]Matriz Precios A'!$B$3:$BN$301,34,FALSE)</f>
        <v>1477912.8</v>
      </c>
      <c r="E142" s="11">
        <f>VLOOKUP(B142,'[1]Matriz Precios A'!$B$3:$BN$301,3,FALSE)</f>
        <v>72.2</v>
      </c>
      <c r="F142" s="11">
        <v>0</v>
      </c>
      <c r="G142" s="12">
        <f>VLOOKUP(B142,'[1]Matriz Precios A'!$B$3:$BP$301,7,FALSE)</f>
        <v>0</v>
      </c>
      <c r="H142" s="13">
        <f t="shared" si="18"/>
        <v>0</v>
      </c>
      <c r="I142" s="13">
        <f>VLOOKUP(B142,'[1]Matriz Precios A'!$B$3:$BP$301,8,FALSE)</f>
        <v>1</v>
      </c>
      <c r="J142" s="11">
        <f t="shared" si="19"/>
        <v>25</v>
      </c>
      <c r="K142" s="13">
        <f t="shared" si="20"/>
        <v>5.3</v>
      </c>
      <c r="L142" s="11">
        <f t="shared" si="21"/>
        <v>102.5</v>
      </c>
      <c r="M142" s="14">
        <f>$H$201</f>
        <v>15392.061955469506</v>
      </c>
      <c r="N142" s="14">
        <f t="shared" si="22"/>
        <v>1577700</v>
      </c>
      <c r="O142" s="14">
        <f t="shared" si="23"/>
        <v>99787.199999999953</v>
      </c>
      <c r="P142" s="15">
        <v>147912.79999999999</v>
      </c>
      <c r="Q142" s="16">
        <f>VLOOKUP(B142,[2]Sheet1!$C$2:$D$299,2,FALSE)</f>
        <v>147912.79999999999</v>
      </c>
      <c r="R142" s="17">
        <v>148000</v>
      </c>
      <c r="S142" s="17">
        <f t="shared" si="24"/>
        <v>87.200000000011642</v>
      </c>
      <c r="T142" s="43">
        <f t="shared" si="25"/>
        <v>87.200000000011642</v>
      </c>
      <c r="U142" s="20" t="str">
        <f t="shared" si="26"/>
        <v>AL DÍA</v>
      </c>
      <c r="V142" s="21">
        <f>VLOOKUP(B142,'[3]Deal List'!$F$4:$Q$302,8,FALSE)</f>
        <v>2</v>
      </c>
      <c r="W142" s="22" t="str">
        <f>VLOOKUP(B142,'[3]Deal List'!$F$4:$Q$302,9,FALSE)</f>
        <v>DENEGADA</v>
      </c>
      <c r="X142" s="23" t="str">
        <f>VLOOKUP(B142,'[3]Deal List'!$F$4:$Q$302,12,FALSE)</f>
        <v>Cliente posee RCI del 54% (TC por Q9.6 mil), se sugiere adicionar otro deudor o cancelar la deuda de la TC.</v>
      </c>
    </row>
    <row r="143" spans="1:24" x14ac:dyDescent="0.3">
      <c r="A143" s="9" t="s">
        <v>65</v>
      </c>
      <c r="B143" s="9">
        <v>1105</v>
      </c>
      <c r="C143" s="9" t="str">
        <f>VLOOKUP(B143,'[1]Matriz Precios A'!$B$3:$BN$301,2,FALSE)</f>
        <v>A6</v>
      </c>
      <c r="D143" s="10">
        <f>VLOOKUP(B143,'[1]Matriz Precios A'!$B$3:$BN$301,34,FALSE)</f>
        <v>657892.69999999995</v>
      </c>
      <c r="E143" s="11">
        <f>VLOOKUP(B143,'[1]Matriz Precios A'!$B$3:$BN$301,3,FALSE)</f>
        <v>35.69</v>
      </c>
      <c r="F143" s="11">
        <v>0</v>
      </c>
      <c r="G143" s="12">
        <f>VLOOKUP(B143,'[1]Matriz Precios A'!$B$3:$BP$301,7,FALSE)</f>
        <v>1</v>
      </c>
      <c r="H143" s="13">
        <f t="shared" si="18"/>
        <v>12.5</v>
      </c>
      <c r="I143" s="13">
        <f>VLOOKUP(B143,'[1]Matriz Precios A'!$B$3:$BP$301,8,FALSE)</f>
        <v>0</v>
      </c>
      <c r="J143" s="11">
        <f t="shared" si="19"/>
        <v>0</v>
      </c>
      <c r="K143" s="13">
        <f t="shared" si="20"/>
        <v>0</v>
      </c>
      <c r="L143" s="11">
        <f t="shared" si="21"/>
        <v>48.19</v>
      </c>
      <c r="M143" s="14">
        <f>$H$195</f>
        <v>18865.9793814433</v>
      </c>
      <c r="N143" s="14">
        <f t="shared" si="22"/>
        <v>909200</v>
      </c>
      <c r="O143" s="14">
        <f t="shared" si="23"/>
        <v>251307.30000000005</v>
      </c>
      <c r="P143" s="16">
        <v>65892.7</v>
      </c>
      <c r="Q143" s="16">
        <f>VLOOKUP(B143,[2]Sheet1!$C$2:$D$299,2,FALSE)</f>
        <v>65892.7</v>
      </c>
      <c r="R143" s="17">
        <v>66000</v>
      </c>
      <c r="S143" s="17">
        <f t="shared" si="24"/>
        <v>107.30000000000291</v>
      </c>
      <c r="T143" s="43">
        <f t="shared" si="25"/>
        <v>107.30000000000291</v>
      </c>
      <c r="U143" s="20" t="str">
        <f t="shared" si="26"/>
        <v>AL DÍA</v>
      </c>
      <c r="V143" s="21">
        <f>VLOOKUP(B143,'[3]Deal List'!$F$4:$Q$302,8,FALSE)</f>
        <v>1</v>
      </c>
      <c r="W143" s="22" t="str">
        <f>VLOOKUP(B143,'[3]Deal List'!$F$4:$Q$302,9,FALSE)</f>
        <v>APROBADA</v>
      </c>
      <c r="X143" s="23">
        <f>VLOOKUP(B143,'[3]Deal List'!$F$4:$Q$302,12,FALSE)</f>
        <v>0</v>
      </c>
    </row>
    <row r="144" spans="1:24" x14ac:dyDescent="0.3">
      <c r="A144" s="9" t="s">
        <v>144</v>
      </c>
      <c r="B144" s="9">
        <v>1702</v>
      </c>
      <c r="C144" s="9" t="str">
        <f>VLOOKUP(B144,'[1]Matriz Precios A'!$B$3:$BN$301,2,FALSE)</f>
        <v>A3</v>
      </c>
      <c r="D144" s="10">
        <f>VLOOKUP(B144,'[1]Matriz Precios A'!$B$3:$BN$301,34,FALSE)</f>
        <v>666800</v>
      </c>
      <c r="E144" s="11">
        <f>VLOOKUP(B144,'[1]Matriz Precios A'!$B$3:$BN$301,3,FALSE)</f>
        <v>35.94</v>
      </c>
      <c r="F144" s="11">
        <v>0</v>
      </c>
      <c r="G144" s="12">
        <f>VLOOKUP(B144,'[1]Matriz Precios A'!$B$3:$BP$301,7,FALSE)</f>
        <v>1</v>
      </c>
      <c r="H144" s="13">
        <f t="shared" si="18"/>
        <v>12.5</v>
      </c>
      <c r="I144" s="13">
        <f>VLOOKUP(B144,'[1]Matriz Precios A'!$B$3:$BP$301,8,FALSE)</f>
        <v>0</v>
      </c>
      <c r="J144" s="11">
        <f t="shared" si="19"/>
        <v>0</v>
      </c>
      <c r="K144" s="13">
        <f t="shared" si="20"/>
        <v>0</v>
      </c>
      <c r="L144" s="11">
        <f t="shared" si="21"/>
        <v>48.44</v>
      </c>
      <c r="M144" s="14">
        <f>$H$195</f>
        <v>18865.9793814433</v>
      </c>
      <c r="N144" s="14">
        <f t="shared" si="22"/>
        <v>913900</v>
      </c>
      <c r="O144" s="14">
        <f t="shared" si="23"/>
        <v>247100</v>
      </c>
      <c r="P144" s="16">
        <v>66700</v>
      </c>
      <c r="Q144" s="16">
        <f>VLOOKUP(B144,[2]Sheet1!$C$2:$D$299,2,FALSE)</f>
        <v>66700</v>
      </c>
      <c r="R144" s="17">
        <v>66900</v>
      </c>
      <c r="S144" s="17">
        <f t="shared" si="24"/>
        <v>200</v>
      </c>
      <c r="T144" s="43">
        <f t="shared" si="25"/>
        <v>200</v>
      </c>
      <c r="U144" s="20" t="str">
        <f t="shared" si="26"/>
        <v>AL DÍA</v>
      </c>
      <c r="V144" s="21">
        <f>VLOOKUP(B144,'[3]Deal List'!$F$4:$Q$302,8,FALSE)</f>
        <v>1</v>
      </c>
      <c r="W144" s="22" t="str">
        <f>VLOOKUP(B144,'[3]Deal List'!$F$4:$Q$302,9,FALSE)</f>
        <v>DENEGADA</v>
      </c>
      <c r="X144" s="23" t="str">
        <f>VLOOKUP(B144,'[3]Deal List'!$F$4:$Q$302,12,FALSE)</f>
        <v>Cliente posee RCI del 56% (Adicionar otro deudor)</v>
      </c>
    </row>
    <row r="145" spans="1:24" x14ac:dyDescent="0.3">
      <c r="A145" s="29" t="s">
        <v>145</v>
      </c>
      <c r="B145" s="29">
        <v>1117</v>
      </c>
      <c r="C145" s="9" t="str">
        <f>VLOOKUP(B145,'[1]Matriz Precios A'!$B$3:$BN$301,2,FALSE)</f>
        <v>D10</v>
      </c>
      <c r="D145" s="10">
        <f>VLOOKUP(B145,'[1]Matriz Precios A'!$B$3:$BN$301,34,FALSE)</f>
        <v>1165934.22</v>
      </c>
      <c r="E145" s="11">
        <f>VLOOKUP(B145,'[1]Matriz Precios A'!$B$3:$BN$301,3,FALSE)</f>
        <v>59.8</v>
      </c>
      <c r="F145" s="11">
        <v>0</v>
      </c>
      <c r="G145" s="12">
        <f>VLOOKUP(B145,'[1]Matriz Precios A'!$B$3:$BP$301,7,FALSE)</f>
        <v>0</v>
      </c>
      <c r="H145" s="13">
        <f t="shared" si="18"/>
        <v>0</v>
      </c>
      <c r="I145" s="13">
        <f>VLOOKUP(B145,'[1]Matriz Precios A'!$B$3:$BP$301,8,FALSE)</f>
        <v>1</v>
      </c>
      <c r="J145" s="11">
        <f t="shared" si="19"/>
        <v>25</v>
      </c>
      <c r="K145" s="13">
        <f t="shared" si="20"/>
        <v>5.3</v>
      </c>
      <c r="L145" s="11">
        <f t="shared" si="21"/>
        <v>90.1</v>
      </c>
      <c r="M145" s="14">
        <f>$H$200</f>
        <v>14696.813977389518</v>
      </c>
      <c r="N145" s="14">
        <f t="shared" si="22"/>
        <v>1324200</v>
      </c>
      <c r="O145" s="14">
        <f t="shared" si="23"/>
        <v>158265.78000000003</v>
      </c>
      <c r="P145" s="15">
        <v>116634.22</v>
      </c>
      <c r="Q145" s="16">
        <f>VLOOKUP(B145,[2]Sheet1!$C$2:$D$299,2,FALSE)</f>
        <v>116634.22</v>
      </c>
      <c r="R145" s="17">
        <v>116934.22</v>
      </c>
      <c r="S145" s="17">
        <f t="shared" si="24"/>
        <v>300</v>
      </c>
      <c r="T145" s="43">
        <f t="shared" si="25"/>
        <v>300</v>
      </c>
      <c r="U145" s="20" t="str">
        <f t="shared" si="26"/>
        <v>AL DÍA</v>
      </c>
      <c r="V145" s="21">
        <f>VLOOKUP(B145,'[3]Deal List'!$F$4:$Q$302,8,FALSE)</f>
        <v>2</v>
      </c>
      <c r="W145" s="22" t="str">
        <f>VLOOKUP(B145,'[3]Deal List'!$F$4:$Q$302,9,FALSE)</f>
        <v>APROBADA</v>
      </c>
      <c r="X145" s="23">
        <f>VLOOKUP(B145,'[3]Deal List'!$F$4:$Q$302,12,FALSE)</f>
        <v>0</v>
      </c>
    </row>
    <row r="146" spans="1:24" x14ac:dyDescent="0.3">
      <c r="A146" s="29" t="s">
        <v>146</v>
      </c>
      <c r="B146" s="27">
        <v>1605</v>
      </c>
      <c r="C146" s="9" t="str">
        <f>VLOOKUP(B146,'[1]Matriz Precios A'!$B$3:$BN$301,2,FALSE)</f>
        <v>D7</v>
      </c>
      <c r="D146" s="10">
        <f>VLOOKUP(B146,'[1]Matriz Precios A'!$B$3:$BN$301,34,FALSE)</f>
        <v>1393455</v>
      </c>
      <c r="E146" s="11">
        <f>VLOOKUP(B146,'[1]Matriz Precios A'!$B$3:$BN$301,3,FALSE)</f>
        <v>66.72</v>
      </c>
      <c r="F146" s="11">
        <v>0</v>
      </c>
      <c r="G146" s="12">
        <f>VLOOKUP(B146,'[1]Matriz Precios A'!$B$3:$BP$301,7,FALSE)</f>
        <v>0</v>
      </c>
      <c r="H146" s="13">
        <f t="shared" si="18"/>
        <v>0</v>
      </c>
      <c r="I146" s="13">
        <f>VLOOKUP(B146,'[1]Matriz Precios A'!$B$3:$BP$301,8,FALSE)</f>
        <v>1</v>
      </c>
      <c r="J146" s="11">
        <f t="shared" si="19"/>
        <v>25</v>
      </c>
      <c r="K146" s="13">
        <f t="shared" si="20"/>
        <v>5.3</v>
      </c>
      <c r="L146" s="11">
        <f t="shared" si="21"/>
        <v>97.02</v>
      </c>
      <c r="M146" s="14">
        <f>$H$200</f>
        <v>14696.813977389518</v>
      </c>
      <c r="N146" s="14">
        <f t="shared" si="22"/>
        <v>1425900</v>
      </c>
      <c r="O146" s="14">
        <f t="shared" si="23"/>
        <v>32445</v>
      </c>
      <c r="P146" s="15">
        <v>139355</v>
      </c>
      <c r="Q146" s="16">
        <f>VLOOKUP(B146,[2]Sheet1!$C$2:$D$299,2,FALSE)</f>
        <v>139355</v>
      </c>
      <c r="R146" s="17">
        <v>140523.63799999998</v>
      </c>
      <c r="S146" s="17">
        <f t="shared" si="24"/>
        <v>1168.6379999999772</v>
      </c>
      <c r="T146" s="43">
        <f t="shared" si="25"/>
        <v>1168.6379999999772</v>
      </c>
      <c r="U146" s="20" t="str">
        <f t="shared" si="26"/>
        <v>AL DÍA</v>
      </c>
      <c r="V146" s="21">
        <f>VLOOKUP(B146,'[3]Deal List'!$F$4:$Q$302,8,FALSE)</f>
        <v>2</v>
      </c>
      <c r="W146" s="22" t="str">
        <f>VLOOKUP(B146,'[3]Deal List'!$F$4:$Q$302,9,FALSE)</f>
        <v>APROBADA</v>
      </c>
      <c r="X146" s="23">
        <f>VLOOKUP(B146,'[3]Deal List'!$F$4:$Q$302,12,FALSE)</f>
        <v>0</v>
      </c>
    </row>
    <row r="147" spans="1:24" x14ac:dyDescent="0.3">
      <c r="A147" s="9" t="s">
        <v>147</v>
      </c>
      <c r="B147" s="9">
        <v>907</v>
      </c>
      <c r="C147" s="9" t="str">
        <f>VLOOKUP(B147,'[1]Matriz Precios A'!$B$3:$BN$301,2,FALSE)</f>
        <v>B4</v>
      </c>
      <c r="D147" s="10">
        <f>VLOOKUP(B147,'[1]Matriz Precios A'!$B$3:$BN$301,34,FALSE)</f>
        <v>901400</v>
      </c>
      <c r="E147" s="11">
        <f>VLOOKUP(B147,'[1]Matriz Precios A'!$B$3:$BN$301,3,FALSE)</f>
        <v>49.77</v>
      </c>
      <c r="F147" s="11">
        <v>0</v>
      </c>
      <c r="G147" s="12">
        <f>VLOOKUP(B147,'[1]Matriz Precios A'!$B$3:$BP$301,7,FALSE)</f>
        <v>1</v>
      </c>
      <c r="H147" s="13">
        <f t="shared" si="18"/>
        <v>12.5</v>
      </c>
      <c r="I147" s="13">
        <f>VLOOKUP(B147,'[1]Matriz Precios A'!$B$3:$BP$301,8,FALSE)</f>
        <v>0</v>
      </c>
      <c r="J147" s="11">
        <f t="shared" si="19"/>
        <v>0</v>
      </c>
      <c r="K147" s="13">
        <f t="shared" si="20"/>
        <v>0</v>
      </c>
      <c r="L147" s="11">
        <f t="shared" si="21"/>
        <v>62.27</v>
      </c>
      <c r="M147" s="14">
        <f>$H$196</f>
        <v>16800</v>
      </c>
      <c r="N147" s="14">
        <f t="shared" si="22"/>
        <v>1046200</v>
      </c>
      <c r="O147" s="14">
        <f t="shared" si="23"/>
        <v>144800</v>
      </c>
      <c r="P147" s="16">
        <v>90200</v>
      </c>
      <c r="Q147" s="16">
        <f>VLOOKUP(B147,[2]Sheet1!$C$2:$D$299,2,FALSE)</f>
        <v>90200</v>
      </c>
      <c r="R147" s="17">
        <v>92000</v>
      </c>
      <c r="S147" s="17">
        <f t="shared" si="24"/>
        <v>1800</v>
      </c>
      <c r="T147" s="43">
        <f t="shared" si="25"/>
        <v>1800</v>
      </c>
      <c r="U147" s="20" t="str">
        <f t="shared" si="26"/>
        <v>AL DÍA</v>
      </c>
      <c r="V147" s="21">
        <f>VLOOKUP(B147,'[3]Deal List'!$F$4:$Q$302,8,FALSE)</f>
        <v>2</v>
      </c>
      <c r="W147" s="22" t="str">
        <f>VLOOKUP(B147,'[3]Deal List'!$F$4:$Q$302,9,FALSE)</f>
        <v>APROBADA</v>
      </c>
      <c r="X147" s="23">
        <f>VLOOKUP(B147,'[3]Deal List'!$F$4:$Q$302,12,FALSE)</f>
        <v>0</v>
      </c>
    </row>
    <row r="148" spans="1:24" x14ac:dyDescent="0.3">
      <c r="A148" s="29" t="s">
        <v>148</v>
      </c>
      <c r="B148" s="29">
        <v>317</v>
      </c>
      <c r="C148" s="9" t="str">
        <f>VLOOKUP(B148,'[1]Matriz Precios A'!$B$3:$BN$301,2,FALSE)</f>
        <v>A8</v>
      </c>
      <c r="D148" s="10">
        <f>VLOOKUP(B148,'[1]Matriz Precios A'!$B$3:$BN$301,34,FALSE)</f>
        <v>721087.5</v>
      </c>
      <c r="E148" s="11">
        <f>VLOOKUP(B148,'[1]Matriz Precios A'!$B$3:$BN$301,3,FALSE)</f>
        <v>35.94</v>
      </c>
      <c r="F148" s="11">
        <v>0</v>
      </c>
      <c r="G148" s="12">
        <f>VLOOKUP(B148,'[1]Matriz Precios A'!$B$3:$BP$301,7,FALSE)</f>
        <v>1</v>
      </c>
      <c r="H148" s="13">
        <f t="shared" si="18"/>
        <v>12.5</v>
      </c>
      <c r="I148" s="13">
        <f>VLOOKUP(B148,'[1]Matriz Precios A'!$B$3:$BP$301,8,FALSE)</f>
        <v>0</v>
      </c>
      <c r="J148" s="11">
        <f t="shared" si="19"/>
        <v>0</v>
      </c>
      <c r="K148" s="13">
        <f t="shared" si="20"/>
        <v>0</v>
      </c>
      <c r="L148" s="11">
        <f t="shared" si="21"/>
        <v>48.44</v>
      </c>
      <c r="M148" s="30">
        <f>$H$195</f>
        <v>18865.9793814433</v>
      </c>
      <c r="N148" s="14">
        <f t="shared" si="22"/>
        <v>913900</v>
      </c>
      <c r="O148" s="14">
        <f t="shared" si="23"/>
        <v>192812.5</v>
      </c>
      <c r="P148" s="15">
        <v>72187.5</v>
      </c>
      <c r="Q148" s="16">
        <f>VLOOKUP(B148,[2]Sheet1!$C$2:$D$299,2,FALSE)</f>
        <v>72187.5</v>
      </c>
      <c r="R148" s="17">
        <v>75218.5</v>
      </c>
      <c r="S148" s="17">
        <f t="shared" si="24"/>
        <v>3031</v>
      </c>
      <c r="T148" s="43">
        <f t="shared" si="25"/>
        <v>3031</v>
      </c>
      <c r="U148" s="20" t="str">
        <f t="shared" si="26"/>
        <v>AL DÍA</v>
      </c>
      <c r="V148" s="21">
        <f>VLOOKUP(B148,'[3]Deal List'!$F$4:$Q$302,8,FALSE)</f>
        <v>2</v>
      </c>
      <c r="W148" s="22" t="str">
        <f>VLOOKUP(B148,'[3]Deal List'!$F$4:$Q$302,9,FALSE)</f>
        <v>APROBADA</v>
      </c>
      <c r="X148" s="23">
        <f>VLOOKUP(B148,'[3]Deal List'!$F$4:$Q$302,12,FALSE)</f>
        <v>0</v>
      </c>
    </row>
    <row r="149" spans="1:24" x14ac:dyDescent="0.3">
      <c r="A149" s="27" t="s">
        <v>149</v>
      </c>
      <c r="B149" s="27">
        <v>1601</v>
      </c>
      <c r="C149" s="9" t="str">
        <f>VLOOKUP(B149,'[1]Matriz Precios A'!$B$3:$BN$301,2,FALSE)</f>
        <v>D3</v>
      </c>
      <c r="D149" s="10">
        <f>VLOOKUP(B149,'[1]Matriz Precios A'!$B$3:$BN$301,34,FALSE)</f>
        <v>1255283.8999999999</v>
      </c>
      <c r="E149" s="11">
        <f>VLOOKUP(B149,'[1]Matriz Precios A'!$B$3:$BN$301,3,FALSE)</f>
        <v>63.62</v>
      </c>
      <c r="F149" s="11">
        <v>0</v>
      </c>
      <c r="G149" s="12">
        <f>VLOOKUP(B149,'[1]Matriz Precios A'!$B$3:$BP$301,7,FALSE)</f>
        <v>0</v>
      </c>
      <c r="H149" s="13">
        <f t="shared" si="18"/>
        <v>0</v>
      </c>
      <c r="I149" s="13">
        <f>VLOOKUP(B149,'[1]Matriz Precios A'!$B$3:$BP$301,8,FALSE)</f>
        <v>1</v>
      </c>
      <c r="J149" s="11">
        <f t="shared" si="19"/>
        <v>25</v>
      </c>
      <c r="K149" s="13">
        <f t="shared" si="20"/>
        <v>5.3</v>
      </c>
      <c r="L149" s="11">
        <f t="shared" si="21"/>
        <v>93.92</v>
      </c>
      <c r="M149" s="14">
        <f>$H$200</f>
        <v>14696.813977389518</v>
      </c>
      <c r="N149" s="14">
        <f t="shared" si="22"/>
        <v>1380400</v>
      </c>
      <c r="O149" s="14">
        <f t="shared" si="23"/>
        <v>125116.10000000009</v>
      </c>
      <c r="P149" s="15">
        <v>125583.9</v>
      </c>
      <c r="Q149" s="16">
        <f>VLOOKUP(B149,[2]Sheet1!$C$2:$D$299,2,FALSE)</f>
        <v>125583.9</v>
      </c>
      <c r="R149" s="17">
        <v>129000</v>
      </c>
      <c r="S149" s="17">
        <f t="shared" si="24"/>
        <v>3416.1000000000058</v>
      </c>
      <c r="T149" s="43">
        <f t="shared" si="25"/>
        <v>3416.1000000000058</v>
      </c>
      <c r="U149" s="20" t="str">
        <f t="shared" si="26"/>
        <v>AL DÍA</v>
      </c>
      <c r="V149" s="21">
        <f>VLOOKUP(B149,'[3]Deal List'!$F$4:$Q$302,8,FALSE)</f>
        <v>2</v>
      </c>
      <c r="W149" s="22" t="str">
        <f>VLOOKUP(B149,'[3]Deal List'!$F$4:$Q$302,9,FALSE)</f>
        <v>DENEGADA</v>
      </c>
      <c r="X149" s="23" t="str">
        <f>VLOOKUP(B149,'[3]Deal List'!$F$4:$Q$302,12,FALSE)</f>
        <v>Cliente posee un RCI del 51%</v>
      </c>
    </row>
    <row r="150" spans="1:24" x14ac:dyDescent="0.3">
      <c r="A150" s="31" t="s">
        <v>82</v>
      </c>
      <c r="B150" s="27">
        <v>416</v>
      </c>
      <c r="C150" s="9" t="str">
        <f>VLOOKUP(B150,'[1]Matriz Precios A'!$B$3:$BN$301,2,FALSE)</f>
        <v>A4</v>
      </c>
      <c r="D150" s="10">
        <f>VLOOKUP(B150,'[1]Matriz Precios A'!$B$3:$BN$301,34,FALSE)</f>
        <v>798331.17868637398</v>
      </c>
      <c r="E150" s="11">
        <f>VLOOKUP(B150,'[1]Matriz Precios A'!$B$3:$BN$301,3,FALSE)</f>
        <v>35.549999999999997</v>
      </c>
      <c r="F150" s="11">
        <v>0</v>
      </c>
      <c r="G150" s="12">
        <f>VLOOKUP(B150,'[1]Matriz Precios A'!$B$3:$BP$301,7,FALSE)</f>
        <v>1</v>
      </c>
      <c r="H150" s="13">
        <f t="shared" si="18"/>
        <v>12.5</v>
      </c>
      <c r="I150" s="13">
        <f>VLOOKUP(B150,'[1]Matriz Precios A'!$B$3:$BP$301,8,FALSE)</f>
        <v>0</v>
      </c>
      <c r="J150" s="11">
        <f t="shared" si="19"/>
        <v>0</v>
      </c>
      <c r="K150" s="13">
        <f t="shared" si="20"/>
        <v>0</v>
      </c>
      <c r="L150" s="11">
        <f t="shared" si="21"/>
        <v>48.05</v>
      </c>
      <c r="M150" s="30">
        <f>$H$195</f>
        <v>18865.9793814433</v>
      </c>
      <c r="N150" s="14">
        <f t="shared" si="22"/>
        <v>906600</v>
      </c>
      <c r="O150" s="14">
        <f t="shared" si="23"/>
        <v>108268.82131362602</v>
      </c>
      <c r="P150" s="15">
        <v>79931.179999999993</v>
      </c>
      <c r="Q150" s="16">
        <f>VLOOKUP(B150,[2]Sheet1!$C$2:$D$299,2,FALSE)</f>
        <v>62452</v>
      </c>
      <c r="R150" s="17">
        <v>66539.72</v>
      </c>
      <c r="S150" s="17">
        <f t="shared" si="24"/>
        <v>4087.7200000000012</v>
      </c>
      <c r="T150" s="19">
        <f t="shared" si="25"/>
        <v>-13391.459999999992</v>
      </c>
      <c r="U150" s="20" t="str">
        <f t="shared" si="26"/>
        <v>AL DÍA</v>
      </c>
      <c r="V150" s="21">
        <f>VLOOKUP(B150,'[3]Deal List'!$F$4:$Q$302,8,FALSE)</f>
        <v>2</v>
      </c>
      <c r="W150" s="22" t="str">
        <f>VLOOKUP(B150,'[3]Deal List'!$F$4:$Q$302,9,FALSE)</f>
        <v>APROBADA</v>
      </c>
      <c r="X150" s="23">
        <f>VLOOKUP(B150,'[3]Deal List'!$F$4:$Q$302,12,FALSE)</f>
        <v>0</v>
      </c>
    </row>
    <row r="151" spans="1:24" x14ac:dyDescent="0.3">
      <c r="A151" s="9" t="s">
        <v>150</v>
      </c>
      <c r="B151" s="9">
        <v>916</v>
      </c>
      <c r="C151" s="9" t="str">
        <f>VLOOKUP(B151,'[1]Matriz Precios A'!$B$3:$BN$301,2,FALSE)</f>
        <v>A2</v>
      </c>
      <c r="D151" s="10">
        <f>VLOOKUP(B151,'[1]Matriz Precios A'!$B$3:$BN$301,34,FALSE)</f>
        <v>687500</v>
      </c>
      <c r="E151" s="11">
        <f>VLOOKUP(B151,'[1]Matriz Precios A'!$B$3:$BN$301,3,FALSE)</f>
        <v>34.9</v>
      </c>
      <c r="F151" s="11">
        <v>0</v>
      </c>
      <c r="G151" s="12">
        <f>VLOOKUP(B151,'[1]Matriz Precios A'!$B$3:$BP$301,7,FALSE)</f>
        <v>1</v>
      </c>
      <c r="H151" s="13">
        <f t="shared" si="18"/>
        <v>12.5</v>
      </c>
      <c r="I151" s="13">
        <f>VLOOKUP(B151,'[1]Matriz Precios A'!$B$3:$BP$301,8,FALSE)</f>
        <v>0</v>
      </c>
      <c r="J151" s="11">
        <f t="shared" si="19"/>
        <v>0</v>
      </c>
      <c r="K151" s="13">
        <f t="shared" si="20"/>
        <v>0</v>
      </c>
      <c r="L151" s="11">
        <f t="shared" si="21"/>
        <v>47.4</v>
      </c>
      <c r="M151" s="14">
        <f>$H$195</f>
        <v>18865.9793814433</v>
      </c>
      <c r="N151" s="14">
        <f t="shared" si="22"/>
        <v>894300</v>
      </c>
      <c r="O151" s="14">
        <f t="shared" si="23"/>
        <v>206800</v>
      </c>
      <c r="P151" s="16">
        <v>68800</v>
      </c>
      <c r="Q151" s="16">
        <f>VLOOKUP(B151,[2]Sheet1!$C$2:$D$299,2,FALSE)</f>
        <v>68800</v>
      </c>
      <c r="R151" s="17">
        <v>73500</v>
      </c>
      <c r="S151" s="17">
        <f t="shared" si="24"/>
        <v>4700</v>
      </c>
      <c r="T151" s="43">
        <f t="shared" si="25"/>
        <v>4700</v>
      </c>
      <c r="U151" s="20" t="str">
        <f t="shared" si="26"/>
        <v>AL DÍA</v>
      </c>
      <c r="V151" s="21">
        <f>VLOOKUP(B151,'[3]Deal List'!$F$4:$Q$302,8,FALSE)</f>
        <v>1</v>
      </c>
      <c r="W151" s="22" t="str">
        <f>VLOOKUP(B151,'[3]Deal List'!$F$4:$Q$302,9,FALSE)</f>
        <v>APROBADA</v>
      </c>
      <c r="X151" s="23">
        <f>VLOOKUP(B151,'[3]Deal List'!$F$4:$Q$302,12,FALSE)</f>
        <v>0</v>
      </c>
    </row>
    <row r="152" spans="1:24" x14ac:dyDescent="0.3">
      <c r="A152" s="29" t="s">
        <v>151</v>
      </c>
      <c r="B152" s="29">
        <v>401</v>
      </c>
      <c r="C152" s="9" t="str">
        <f>VLOOKUP(B152,'[1]Matriz Precios A'!$B$3:$BN$301,2,FALSE)</f>
        <v>C3</v>
      </c>
      <c r="D152" s="10">
        <f>VLOOKUP(B152,'[1]Matriz Precios A'!$B$3:$BN$301,34,FALSE)</f>
        <v>1153800</v>
      </c>
      <c r="E152" s="11">
        <f>VLOOKUP(B152,'[1]Matriz Precios A'!$B$3:$BN$301,3,FALSE)</f>
        <v>54.27</v>
      </c>
      <c r="F152" s="11">
        <v>0</v>
      </c>
      <c r="G152" s="12">
        <f>VLOOKUP(B152,'[1]Matriz Precios A'!$B$3:$BP$301,7,FALSE)</f>
        <v>0</v>
      </c>
      <c r="H152" s="13">
        <f t="shared" si="18"/>
        <v>0</v>
      </c>
      <c r="I152" s="13">
        <f>VLOOKUP(B152,'[1]Matriz Precios A'!$B$3:$BP$301,8,FALSE)</f>
        <v>1</v>
      </c>
      <c r="J152" s="11">
        <f t="shared" si="19"/>
        <v>25</v>
      </c>
      <c r="K152" s="13">
        <f t="shared" si="20"/>
        <v>5.3</v>
      </c>
      <c r="L152" s="11">
        <f t="shared" si="21"/>
        <v>84.570000000000007</v>
      </c>
      <c r="M152" s="14">
        <f>$H$199</f>
        <v>15826.494724501759</v>
      </c>
      <c r="N152" s="14">
        <f t="shared" si="22"/>
        <v>1338500</v>
      </c>
      <c r="O152" s="14">
        <f t="shared" si="23"/>
        <v>184700</v>
      </c>
      <c r="P152" s="15">
        <v>115400</v>
      </c>
      <c r="Q152" s="16">
        <f>VLOOKUP(B152,[2]Sheet1!$C$2:$D$299,2,FALSE)</f>
        <v>115400</v>
      </c>
      <c r="R152" s="17">
        <v>120770</v>
      </c>
      <c r="S152" s="17">
        <f t="shared" si="24"/>
        <v>5370</v>
      </c>
      <c r="T152" s="43">
        <f t="shared" si="25"/>
        <v>5370</v>
      </c>
      <c r="U152" s="20" t="str">
        <f t="shared" si="26"/>
        <v>AL DÍA</v>
      </c>
      <c r="V152" s="21">
        <f>VLOOKUP(B152,'[3]Deal List'!$F$4:$Q$302,8,FALSE)</f>
        <v>2</v>
      </c>
      <c r="W152" s="22" t="str">
        <f>VLOOKUP(B152,'[3]Deal List'!$F$4:$Q$302,9,FALSE)</f>
        <v>APROBADA</v>
      </c>
      <c r="X152" s="23">
        <f>VLOOKUP(B152,'[3]Deal List'!$F$4:$Q$302,12,FALSE)</f>
        <v>0</v>
      </c>
    </row>
    <row r="153" spans="1:24" x14ac:dyDescent="0.3">
      <c r="A153" s="27" t="s">
        <v>152</v>
      </c>
      <c r="B153" s="29">
        <v>1511</v>
      </c>
      <c r="C153" s="9" t="str">
        <f>VLOOKUP(B153,'[1]Matriz Precios A'!$B$3:$BN$301,2,FALSE)</f>
        <v>E8</v>
      </c>
      <c r="D153" s="10">
        <f>VLOOKUP(B153,'[1]Matriz Precios A'!$B$3:$BN$301,34,FALSE)</f>
        <v>1382700</v>
      </c>
      <c r="E153" s="11">
        <f>VLOOKUP(B153,'[1]Matriz Precios A'!$B$3:$BN$301,3,FALSE)</f>
        <v>74.260000000000005</v>
      </c>
      <c r="F153" s="11">
        <v>0</v>
      </c>
      <c r="G153" s="12">
        <f>VLOOKUP(B153,'[1]Matriz Precios A'!$B$3:$BP$301,7,FALSE)</f>
        <v>0</v>
      </c>
      <c r="H153" s="13">
        <f t="shared" si="18"/>
        <v>0</v>
      </c>
      <c r="I153" s="13">
        <f>VLOOKUP(B153,'[1]Matriz Precios A'!$B$3:$BP$301,8,FALSE)</f>
        <v>1</v>
      </c>
      <c r="J153" s="11">
        <f t="shared" si="19"/>
        <v>25</v>
      </c>
      <c r="K153" s="13">
        <f t="shared" si="20"/>
        <v>5.3</v>
      </c>
      <c r="L153" s="11">
        <f t="shared" si="21"/>
        <v>104.56</v>
      </c>
      <c r="M153" s="14">
        <f>$H$201</f>
        <v>15392.061955469506</v>
      </c>
      <c r="N153" s="14">
        <f t="shared" si="22"/>
        <v>1609400</v>
      </c>
      <c r="O153" s="14">
        <f t="shared" si="23"/>
        <v>226700</v>
      </c>
      <c r="P153" s="15">
        <v>138300</v>
      </c>
      <c r="Q153" s="16">
        <f>VLOOKUP(B153,[2]Sheet1!$C$2:$D$299,2,FALSE)</f>
        <v>138300</v>
      </c>
      <c r="R153" s="17">
        <v>143688</v>
      </c>
      <c r="S153" s="17">
        <f t="shared" si="24"/>
        <v>5388</v>
      </c>
      <c r="T153" s="43">
        <f t="shared" si="25"/>
        <v>5388</v>
      </c>
      <c r="U153" s="20" t="str">
        <f t="shared" si="26"/>
        <v>AL DÍA</v>
      </c>
      <c r="V153" s="21">
        <f>VLOOKUP(B153,'[3]Deal List'!$F$4:$Q$302,8,FALSE)</f>
        <v>2</v>
      </c>
      <c r="W153" s="22" t="str">
        <f>VLOOKUP(B153,'[3]Deal List'!$F$4:$Q$302,9,FALSE)</f>
        <v>DENEGADA</v>
      </c>
      <c r="X153" s="23" t="str">
        <f>VLOOKUP(B153,'[3]Deal List'!$F$4:$Q$302,12,FALSE)</f>
        <v>Clientes poseen un RCI superior al 100% (Luis Fernando: Fiduciario por Q276 mil y TCs por Q23 mil. Cristian: Hipotecario por Q1.2 millones y TCs por Q123 mil)</v>
      </c>
    </row>
    <row r="154" spans="1:24" x14ac:dyDescent="0.3">
      <c r="A154" s="9" t="s">
        <v>153</v>
      </c>
      <c r="B154" s="28">
        <v>110</v>
      </c>
      <c r="C154" s="9" t="str">
        <f>VLOOKUP(B154,'[1]Matriz Precios A'!$B$3:$BN$301,2,FALSE)</f>
        <v>A2.1</v>
      </c>
      <c r="D154" s="10">
        <f>VLOOKUP(B154,'[1]Matriz Precios A'!$B$3:$BN$301,34,FALSE)</f>
        <v>680900</v>
      </c>
      <c r="E154" s="11">
        <f>VLOOKUP(B154,'[1]Matriz Precios A'!$B$3:$BN$301,3,FALSE)</f>
        <v>33.629999999999995</v>
      </c>
      <c r="F154" s="11">
        <f>VLOOKUP(B154,'[1]Matriz Precios A'!$B$3:$BN$301,6,FALSE)</f>
        <v>8.3000000000000007</v>
      </c>
      <c r="G154" s="12">
        <f>VLOOKUP(B154,'[1]Matriz Precios A'!$B$3:$BP$301,7,FALSE)</f>
        <v>1</v>
      </c>
      <c r="H154" s="13">
        <f t="shared" si="18"/>
        <v>12.5</v>
      </c>
      <c r="I154" s="13">
        <f>VLOOKUP(B154,'[1]Matriz Precios A'!$B$3:$BP$301,8,FALSE)</f>
        <v>0</v>
      </c>
      <c r="J154" s="11">
        <f t="shared" si="19"/>
        <v>0</v>
      </c>
      <c r="K154" s="13">
        <f t="shared" si="20"/>
        <v>0</v>
      </c>
      <c r="L154" s="11">
        <f t="shared" si="21"/>
        <v>54.429999999999993</v>
      </c>
      <c r="M154" s="14">
        <f>$H$195</f>
        <v>18865.9793814433</v>
      </c>
      <c r="N154" s="14">
        <f t="shared" si="22"/>
        <v>1026900</v>
      </c>
      <c r="O154" s="14">
        <f t="shared" si="23"/>
        <v>346000</v>
      </c>
      <c r="P154" s="16">
        <v>68100</v>
      </c>
      <c r="Q154" s="16">
        <f>VLOOKUP(B154,[2]Sheet1!$C$2:$D$299,2,FALSE)</f>
        <v>68100</v>
      </c>
      <c r="R154" s="17">
        <v>75252</v>
      </c>
      <c r="S154" s="17">
        <f t="shared" si="24"/>
        <v>7152</v>
      </c>
      <c r="T154" s="43">
        <f t="shared" si="25"/>
        <v>7152</v>
      </c>
      <c r="U154" s="20" t="str">
        <f t="shared" si="26"/>
        <v>AL DÍA</v>
      </c>
      <c r="V154" s="21">
        <f>VLOOKUP(B154,'[3]Deal List'!$F$4:$Q$302,8,FALSE)</f>
        <v>2</v>
      </c>
      <c r="W154" s="22" t="str">
        <f>VLOOKUP(B154,'[3]Deal List'!$F$4:$Q$302,9,FALSE)</f>
        <v>APROBADA</v>
      </c>
      <c r="X154" s="23">
        <f>VLOOKUP(B154,'[3]Deal List'!$F$4:$Q$302,12,FALSE)</f>
        <v>0</v>
      </c>
    </row>
    <row r="155" spans="1:24" x14ac:dyDescent="0.3">
      <c r="A155" s="8" t="s">
        <v>154</v>
      </c>
      <c r="B155" s="27">
        <v>1305</v>
      </c>
      <c r="C155" s="9" t="str">
        <f>VLOOKUP(B155,'[1]Matriz Precios A'!$B$3:$BN$301,2,FALSE)</f>
        <v>A6</v>
      </c>
      <c r="D155" s="10">
        <f>VLOOKUP(B155,'[1]Matriz Precios A'!$B$3:$BN$301,34,FALSE)</f>
        <v>663200</v>
      </c>
      <c r="E155" s="11">
        <f>VLOOKUP(B155,'[1]Matriz Precios A'!$B$3:$BN$301,3,FALSE)</f>
        <v>35.69</v>
      </c>
      <c r="F155" s="11">
        <v>0</v>
      </c>
      <c r="G155" s="12">
        <f>VLOOKUP(B155,'[1]Matriz Precios A'!$B$3:$BP$301,7,FALSE)</f>
        <v>1</v>
      </c>
      <c r="H155" s="13">
        <f t="shared" si="18"/>
        <v>12.5</v>
      </c>
      <c r="I155" s="13">
        <f>VLOOKUP(B155,'[1]Matriz Precios A'!$B$3:$BP$301,8,FALSE)</f>
        <v>0</v>
      </c>
      <c r="J155" s="11">
        <f t="shared" si="19"/>
        <v>0</v>
      </c>
      <c r="K155" s="13">
        <f t="shared" si="20"/>
        <v>0</v>
      </c>
      <c r="L155" s="11">
        <f t="shared" si="21"/>
        <v>48.19</v>
      </c>
      <c r="M155" s="30">
        <f>$H$195</f>
        <v>18865.9793814433</v>
      </c>
      <c r="N155" s="14">
        <f t="shared" si="22"/>
        <v>909200</v>
      </c>
      <c r="O155" s="14">
        <f t="shared" si="23"/>
        <v>246000</v>
      </c>
      <c r="P155" s="15">
        <v>77400</v>
      </c>
      <c r="Q155" s="16">
        <f>VLOOKUP(B155,[2]Sheet1!$C$2:$D$299,2,FALSE)</f>
        <v>52300</v>
      </c>
      <c r="R155" s="17">
        <v>60553</v>
      </c>
      <c r="S155" s="17">
        <f t="shared" si="24"/>
        <v>8253</v>
      </c>
      <c r="T155" s="19">
        <f t="shared" si="25"/>
        <v>-16847</v>
      </c>
      <c r="U155" s="20" t="str">
        <f t="shared" si="26"/>
        <v>AL DÍA</v>
      </c>
      <c r="V155" s="21">
        <f>VLOOKUP(B155,'[3]Deal List'!$F$4:$Q$302,8,FALSE)</f>
        <v>2</v>
      </c>
      <c r="W155" s="22" t="str">
        <f>VLOOKUP(B155,'[3]Deal List'!$F$4:$Q$302,9,FALSE)</f>
        <v>APROBADA</v>
      </c>
      <c r="X155" s="23">
        <f>VLOOKUP(B155,'[3]Deal List'!$F$4:$Q$302,12,FALSE)</f>
        <v>0</v>
      </c>
    </row>
    <row r="156" spans="1:24" x14ac:dyDescent="0.3">
      <c r="A156" s="9" t="s">
        <v>155</v>
      </c>
      <c r="B156" s="9">
        <v>1003</v>
      </c>
      <c r="C156" s="9" t="str">
        <f>VLOOKUP(B156,'[1]Matriz Precios A'!$B$3:$BN$301,2,FALSE)</f>
        <v>A8</v>
      </c>
      <c r="D156" s="10">
        <f>VLOOKUP(B156,'[1]Matriz Precios A'!$B$3:$BN$301,34,FALSE)</f>
        <v>703500</v>
      </c>
      <c r="E156" s="11">
        <f>VLOOKUP(B156,'[1]Matriz Precios A'!$B$3:$BN$301,3,FALSE)</f>
        <v>35.94</v>
      </c>
      <c r="F156" s="11">
        <v>0</v>
      </c>
      <c r="G156" s="12">
        <f>VLOOKUP(B156,'[1]Matriz Precios A'!$B$3:$BP$301,7,FALSE)</f>
        <v>1</v>
      </c>
      <c r="H156" s="13">
        <f t="shared" si="18"/>
        <v>12.5</v>
      </c>
      <c r="I156" s="13">
        <f>VLOOKUP(B156,'[1]Matriz Precios A'!$B$3:$BP$301,8,FALSE)</f>
        <v>0</v>
      </c>
      <c r="J156" s="11">
        <f t="shared" si="19"/>
        <v>0</v>
      </c>
      <c r="K156" s="13">
        <f t="shared" si="20"/>
        <v>0</v>
      </c>
      <c r="L156" s="11">
        <f t="shared" si="21"/>
        <v>48.44</v>
      </c>
      <c r="M156" s="14">
        <f>$H$195</f>
        <v>18865.9793814433</v>
      </c>
      <c r="N156" s="14">
        <f t="shared" si="22"/>
        <v>913900</v>
      </c>
      <c r="O156" s="14">
        <f t="shared" si="23"/>
        <v>210400</v>
      </c>
      <c r="P156" s="16">
        <v>70400</v>
      </c>
      <c r="Q156" s="16">
        <f>VLOOKUP(B156,[2]Sheet1!$C$2:$D$299,2,FALSE)</f>
        <v>70400</v>
      </c>
      <c r="R156" s="17">
        <v>78700</v>
      </c>
      <c r="S156" s="17">
        <f t="shared" si="24"/>
        <v>8300</v>
      </c>
      <c r="T156" s="43">
        <f t="shared" si="25"/>
        <v>8300</v>
      </c>
      <c r="U156" s="20" t="str">
        <f t="shared" si="26"/>
        <v>AL DÍA</v>
      </c>
      <c r="V156" s="21">
        <f>VLOOKUP(B156,'[3]Deal List'!$F$4:$Q$302,8,FALSE)</f>
        <v>1</v>
      </c>
      <c r="W156" s="22" t="str">
        <f>VLOOKUP(B156,'[3]Deal List'!$F$4:$Q$302,9,FALSE)</f>
        <v>APROBADA</v>
      </c>
      <c r="X156" s="23">
        <f>VLOOKUP(B156,'[3]Deal List'!$F$4:$Q$302,12,FALSE)</f>
        <v>0</v>
      </c>
    </row>
    <row r="157" spans="1:24" x14ac:dyDescent="0.3">
      <c r="A157" s="29" t="s">
        <v>156</v>
      </c>
      <c r="B157" s="29">
        <v>1104</v>
      </c>
      <c r="C157" s="9" t="str">
        <f>VLOOKUP(B157,'[1]Matriz Precios A'!$B$3:$BN$301,2,FALSE)</f>
        <v>B3</v>
      </c>
      <c r="D157" s="10">
        <f>VLOOKUP(B157,'[1]Matriz Precios A'!$B$3:$BN$301,34,FALSE)</f>
        <v>887400</v>
      </c>
      <c r="E157" s="11">
        <f>VLOOKUP(B157,'[1]Matriz Precios A'!$B$3:$BN$301,3,FALSE)</f>
        <v>48.96</v>
      </c>
      <c r="F157" s="11">
        <v>0</v>
      </c>
      <c r="G157" s="12">
        <f>VLOOKUP(B157,'[1]Matriz Precios A'!$B$3:$BP$301,7,FALSE)</f>
        <v>1</v>
      </c>
      <c r="H157" s="13">
        <f t="shared" si="18"/>
        <v>12.5</v>
      </c>
      <c r="I157" s="13">
        <f>VLOOKUP(B157,'[1]Matriz Precios A'!$B$3:$BP$301,8,FALSE)</f>
        <v>0</v>
      </c>
      <c r="J157" s="11">
        <f t="shared" si="19"/>
        <v>0</v>
      </c>
      <c r="K157" s="13">
        <f t="shared" si="20"/>
        <v>0</v>
      </c>
      <c r="L157" s="11">
        <f t="shared" si="21"/>
        <v>61.46</v>
      </c>
      <c r="M157" s="14">
        <f>$H$196</f>
        <v>16800</v>
      </c>
      <c r="N157" s="14">
        <f t="shared" si="22"/>
        <v>1032600</v>
      </c>
      <c r="O157" s="14">
        <f t="shared" si="23"/>
        <v>145200</v>
      </c>
      <c r="P157" s="15">
        <v>88800</v>
      </c>
      <c r="Q157" s="16">
        <f>VLOOKUP(B157,[2]Sheet1!$C$2:$D$299,2,FALSE)</f>
        <v>88800</v>
      </c>
      <c r="R157" s="17">
        <v>97313</v>
      </c>
      <c r="S157" s="17">
        <f t="shared" si="24"/>
        <v>8513</v>
      </c>
      <c r="T157" s="43">
        <f t="shared" si="25"/>
        <v>8513</v>
      </c>
      <c r="U157" s="20" t="str">
        <f t="shared" si="26"/>
        <v>AL DÍA</v>
      </c>
      <c r="V157" s="21">
        <f>VLOOKUP(B157,'[3]Deal List'!$F$4:$Q$302,8,FALSE)</f>
        <v>2</v>
      </c>
      <c r="W157" s="22" t="str">
        <f>VLOOKUP(B157,'[3]Deal List'!$F$4:$Q$302,9,FALSE)</f>
        <v>APROBADA</v>
      </c>
      <c r="X157" s="23">
        <f>VLOOKUP(B157,'[3]Deal List'!$F$4:$Q$302,12,FALSE)</f>
        <v>0</v>
      </c>
    </row>
    <row r="158" spans="1:24" x14ac:dyDescent="0.3">
      <c r="A158" s="31" t="s">
        <v>157</v>
      </c>
      <c r="B158" s="29">
        <v>618</v>
      </c>
      <c r="C158" s="9" t="str">
        <f>VLOOKUP(B158,'[1]Matriz Precios A'!$B$3:$BN$301,2,FALSE)</f>
        <v>E9</v>
      </c>
      <c r="D158" s="10">
        <f>VLOOKUP(B158,'[1]Matriz Precios A'!$B$3:$BN$301,34,FALSE)</f>
        <v>1502549.44216114</v>
      </c>
      <c r="E158" s="11">
        <f>VLOOKUP(B158,'[1]Matriz Precios A'!$B$3:$BN$301,3,FALSE)</f>
        <v>72.2</v>
      </c>
      <c r="F158" s="11">
        <v>0</v>
      </c>
      <c r="G158" s="12">
        <f>VLOOKUP(B158,'[1]Matriz Precios A'!$B$3:$BP$301,7,FALSE)</f>
        <v>0</v>
      </c>
      <c r="H158" s="13">
        <f t="shared" si="18"/>
        <v>0</v>
      </c>
      <c r="I158" s="13">
        <f>VLOOKUP(B158,'[1]Matriz Precios A'!$B$3:$BP$301,8,FALSE)</f>
        <v>1</v>
      </c>
      <c r="J158" s="11">
        <f t="shared" si="19"/>
        <v>25</v>
      </c>
      <c r="K158" s="13">
        <f t="shared" si="20"/>
        <v>5.3</v>
      </c>
      <c r="L158" s="11">
        <f t="shared" si="21"/>
        <v>102.5</v>
      </c>
      <c r="M158" s="14">
        <f>$H$201</f>
        <v>15392.061955469506</v>
      </c>
      <c r="N158" s="14">
        <f t="shared" si="22"/>
        <v>1577700</v>
      </c>
      <c r="O158" s="14">
        <f t="shared" si="23"/>
        <v>75150.557838859968</v>
      </c>
      <c r="P158" s="15">
        <v>150349.44</v>
      </c>
      <c r="Q158" s="16">
        <f>VLOOKUP(B158,[2]Sheet1!$C$2:$D$299,2,FALSE)</f>
        <v>108368</v>
      </c>
      <c r="R158" s="17">
        <v>118368</v>
      </c>
      <c r="S158" s="17">
        <f t="shared" si="24"/>
        <v>10000</v>
      </c>
      <c r="T158" s="19">
        <f t="shared" si="25"/>
        <v>-31981.440000000002</v>
      </c>
      <c r="U158" s="20" t="str">
        <f t="shared" si="26"/>
        <v>AL DÍA</v>
      </c>
      <c r="V158" s="21">
        <f>VLOOKUP(B158,'[3]Deal List'!$F$4:$Q$302,8,FALSE)</f>
        <v>2</v>
      </c>
      <c r="W158" s="22" t="str">
        <f>VLOOKUP(B158,'[3]Deal List'!$F$4:$Q$302,9,FALSE)</f>
        <v>APROBADA</v>
      </c>
      <c r="X158" s="23">
        <f>VLOOKUP(B158,'[3]Deal List'!$F$4:$Q$302,12,FALSE)</f>
        <v>0</v>
      </c>
    </row>
    <row r="159" spans="1:24" x14ac:dyDescent="0.3">
      <c r="A159" s="48" t="s">
        <v>158</v>
      </c>
      <c r="B159" s="26">
        <v>906</v>
      </c>
      <c r="C159" s="9" t="str">
        <f>VLOOKUP(B159,'[1]Matriz Precios A'!$B$3:$BN$301,2,FALSE)</f>
        <v>B8</v>
      </c>
      <c r="D159" s="10">
        <f>VLOOKUP(B159,'[1]Matriz Precios A'!$B$3:$BN$301,34,FALSE)</f>
        <v>1102644.5780410699</v>
      </c>
      <c r="E159" s="11">
        <f>VLOOKUP(B159,'[1]Matriz Precios A'!$B$3:$BN$301,3,FALSE)</f>
        <v>52.64</v>
      </c>
      <c r="F159" s="11">
        <v>0</v>
      </c>
      <c r="G159" s="12">
        <f>VLOOKUP(B159,'[1]Matriz Precios A'!$B$3:$BP$301,7,FALSE)</f>
        <v>1</v>
      </c>
      <c r="H159" s="13">
        <f t="shared" si="18"/>
        <v>12.5</v>
      </c>
      <c r="I159" s="13">
        <f>VLOOKUP(B159,'[1]Matriz Precios A'!$B$3:$BP$301,8,FALSE)</f>
        <v>0</v>
      </c>
      <c r="J159" s="11">
        <f t="shared" si="19"/>
        <v>0</v>
      </c>
      <c r="K159" s="13">
        <f t="shared" si="20"/>
        <v>0</v>
      </c>
      <c r="L159" s="11">
        <f t="shared" si="21"/>
        <v>65.14</v>
      </c>
      <c r="M159" s="14">
        <f>$H$196</f>
        <v>16800</v>
      </c>
      <c r="N159" s="14">
        <f t="shared" si="22"/>
        <v>1094400</v>
      </c>
      <c r="O159" s="32">
        <f t="shared" si="23"/>
        <v>-8244.5780410699081</v>
      </c>
      <c r="P159" s="15">
        <v>110344.58</v>
      </c>
      <c r="Q159" s="16">
        <f>VLOOKUP(B159,[2]Sheet1!$C$2:$D$299,2,FALSE)</f>
        <v>0</v>
      </c>
      <c r="R159" s="17">
        <v>10000</v>
      </c>
      <c r="S159" s="17">
        <f t="shared" si="24"/>
        <v>10000</v>
      </c>
      <c r="T159" s="19">
        <f t="shared" si="25"/>
        <v>-100344.58</v>
      </c>
      <c r="U159" s="20" t="str">
        <f t="shared" si="26"/>
        <v>AL DÍA</v>
      </c>
      <c r="V159" s="21">
        <f>VLOOKUP(B159,'[3]Deal List'!$F$4:$Q$302,8,FALSE)</f>
        <v>4</v>
      </c>
      <c r="W159" s="22" t="str">
        <f>VLOOKUP(B159,'[3]Deal List'!$F$4:$Q$302,9,FALSE)</f>
        <v>APROBADA</v>
      </c>
      <c r="X159" s="23">
        <f>VLOOKUP(B159,'[3]Deal List'!$F$4:$Q$302,12,FALSE)</f>
        <v>0</v>
      </c>
    </row>
    <row r="160" spans="1:24" x14ac:dyDescent="0.3">
      <c r="A160" s="31" t="s">
        <v>159</v>
      </c>
      <c r="B160" s="26">
        <v>1612</v>
      </c>
      <c r="C160" s="9" t="str">
        <f>VLOOKUP(B160,'[1]Matriz Precios A'!$B$3:$BN$301,2,FALSE)</f>
        <v>A10</v>
      </c>
      <c r="D160" s="10">
        <f>VLOOKUP(B160,'[1]Matriz Precios A'!$B$3:$BN$301,34,FALSE)</f>
        <v>982583.641688128</v>
      </c>
      <c r="E160" s="11">
        <f>VLOOKUP(B160,'[1]Matriz Precios A'!$B$3:$BN$301,3,FALSE)</f>
        <v>44.7</v>
      </c>
      <c r="F160" s="11">
        <v>0</v>
      </c>
      <c r="G160" s="12">
        <f>VLOOKUP(B160,'[1]Matriz Precios A'!$B$3:$BP$301,7,FALSE)</f>
        <v>1</v>
      </c>
      <c r="H160" s="13">
        <f t="shared" si="18"/>
        <v>12.5</v>
      </c>
      <c r="I160" s="13">
        <f>VLOOKUP(B160,'[1]Matriz Precios A'!$B$3:$BP$301,8,FALSE)</f>
        <v>0</v>
      </c>
      <c r="J160" s="11">
        <f t="shared" si="19"/>
        <v>0</v>
      </c>
      <c r="K160" s="13">
        <f t="shared" si="20"/>
        <v>0</v>
      </c>
      <c r="L160" s="11">
        <f t="shared" si="21"/>
        <v>57.2</v>
      </c>
      <c r="M160" s="30">
        <f>$H$195</f>
        <v>18865.9793814433</v>
      </c>
      <c r="N160" s="14">
        <f t="shared" si="22"/>
        <v>1079200</v>
      </c>
      <c r="O160" s="14">
        <f t="shared" si="23"/>
        <v>96616.358311871998</v>
      </c>
      <c r="P160" s="15">
        <v>85300</v>
      </c>
      <c r="Q160" s="16">
        <f>VLOOKUP(B160,[2]Sheet1!$C$2:$D$299,2,FALSE)</f>
        <v>0</v>
      </c>
      <c r="R160" s="17">
        <v>10000</v>
      </c>
      <c r="S160" s="17">
        <f t="shared" si="24"/>
        <v>10000</v>
      </c>
      <c r="T160" s="19">
        <f t="shared" si="25"/>
        <v>-75300</v>
      </c>
      <c r="U160" s="20" t="str">
        <f t="shared" si="26"/>
        <v>AL DÍA</v>
      </c>
      <c r="V160" s="21">
        <f>VLOOKUP(B160,'[3]Deal List'!$F$4:$Q$302,8,FALSE)</f>
        <v>4</v>
      </c>
      <c r="W160" s="22" t="str">
        <f>VLOOKUP(B160,'[3]Deal List'!$F$4:$Q$302,9,FALSE)</f>
        <v>DISPONIBLE</v>
      </c>
      <c r="X160" s="23">
        <f>VLOOKUP(B160,'[3]Deal List'!$F$4:$Q$302,12,FALSE)</f>
        <v>0</v>
      </c>
    </row>
    <row r="161" spans="1:24" x14ac:dyDescent="0.3">
      <c r="A161" s="9" t="s">
        <v>160</v>
      </c>
      <c r="B161" s="9">
        <v>507</v>
      </c>
      <c r="C161" s="9" t="str">
        <f>VLOOKUP(B161,'[1]Matriz Precios A'!$B$3:$BN$301,2,FALSE)</f>
        <v>A12</v>
      </c>
      <c r="D161" s="10">
        <f>VLOOKUP(B161,'[1]Matriz Precios A'!$B$3:$BN$301,34,FALSE)</f>
        <v>722900</v>
      </c>
      <c r="E161" s="11">
        <f>VLOOKUP(B161,'[1]Matriz Precios A'!$B$3:$BN$301,3,FALSE)</f>
        <v>37.17</v>
      </c>
      <c r="F161" s="11">
        <v>0</v>
      </c>
      <c r="G161" s="12">
        <f>VLOOKUP(B161,'[1]Matriz Precios A'!$B$3:$BP$301,7,FALSE)</f>
        <v>1</v>
      </c>
      <c r="H161" s="13">
        <f t="shared" si="18"/>
        <v>12.5</v>
      </c>
      <c r="I161" s="13">
        <f>VLOOKUP(B161,'[1]Matriz Precios A'!$B$3:$BP$301,8,FALSE)</f>
        <v>0</v>
      </c>
      <c r="J161" s="11">
        <f t="shared" si="19"/>
        <v>0</v>
      </c>
      <c r="K161" s="13">
        <f t="shared" si="20"/>
        <v>0</v>
      </c>
      <c r="L161" s="11">
        <f t="shared" si="21"/>
        <v>49.67</v>
      </c>
      <c r="M161" s="14">
        <f>$H$195</f>
        <v>18865.9793814433</v>
      </c>
      <c r="N161" s="14">
        <f t="shared" si="22"/>
        <v>937100</v>
      </c>
      <c r="O161" s="14">
        <f t="shared" si="23"/>
        <v>214200</v>
      </c>
      <c r="P161" s="16">
        <v>72300</v>
      </c>
      <c r="Q161" s="16">
        <f>VLOOKUP(B161,[2]Sheet1!$C$2:$D$299,2,FALSE)</f>
        <v>72300</v>
      </c>
      <c r="R161" s="17">
        <v>82552</v>
      </c>
      <c r="S161" s="17">
        <f t="shared" si="24"/>
        <v>10252</v>
      </c>
      <c r="T161" s="43">
        <f t="shared" si="25"/>
        <v>10252</v>
      </c>
      <c r="U161" s="20" t="str">
        <f t="shared" si="26"/>
        <v>AL DÍA</v>
      </c>
      <c r="V161" s="21">
        <f>VLOOKUP(B161,'[3]Deal List'!$F$4:$Q$302,8,FALSE)</f>
        <v>2</v>
      </c>
      <c r="W161" s="22" t="str">
        <f>VLOOKUP(B161,'[3]Deal List'!$F$4:$Q$302,9,FALSE)</f>
        <v>APROBADA</v>
      </c>
      <c r="X161" s="23">
        <f>VLOOKUP(B161,'[3]Deal List'!$F$4:$Q$302,12,FALSE)</f>
        <v>0</v>
      </c>
    </row>
    <row r="162" spans="1:24" x14ac:dyDescent="0.3">
      <c r="A162" s="22" t="s">
        <v>161</v>
      </c>
      <c r="B162" s="22">
        <v>1306</v>
      </c>
      <c r="C162" s="9" t="str">
        <f>VLOOKUP(B162,'[1]Matriz Precios A'!$B$3:$BN$301,2,FALSE)</f>
        <v>A4</v>
      </c>
      <c r="D162" s="10">
        <f>VLOOKUP(B162,'[1]Matriz Precios A'!$B$3:$BN$301,34,FALSE)</f>
        <v>697500</v>
      </c>
      <c r="E162" s="11">
        <f>VLOOKUP(B162,'[1]Matriz Precios A'!$B$3:$BN$301,3,FALSE)</f>
        <v>35.549999999999997</v>
      </c>
      <c r="F162" s="11">
        <v>0</v>
      </c>
      <c r="G162" s="12">
        <f>VLOOKUP(B162,'[1]Matriz Precios A'!$B$3:$BP$301,7,FALSE)</f>
        <v>1</v>
      </c>
      <c r="H162" s="13">
        <f t="shared" si="18"/>
        <v>12.5</v>
      </c>
      <c r="I162" s="13">
        <f>VLOOKUP(B162,'[1]Matriz Precios A'!$B$3:$BP$301,8,FALSE)</f>
        <v>0</v>
      </c>
      <c r="J162" s="11">
        <f t="shared" si="19"/>
        <v>0</v>
      </c>
      <c r="K162" s="13">
        <f t="shared" si="20"/>
        <v>0</v>
      </c>
      <c r="L162" s="11">
        <f t="shared" si="21"/>
        <v>48.05</v>
      </c>
      <c r="M162" s="14">
        <f>$H$195</f>
        <v>18865.9793814433</v>
      </c>
      <c r="N162" s="14">
        <f t="shared" si="22"/>
        <v>906600</v>
      </c>
      <c r="O162" s="14">
        <f t="shared" si="23"/>
        <v>209100</v>
      </c>
      <c r="P162" s="16">
        <v>69800</v>
      </c>
      <c r="Q162" s="16">
        <f>VLOOKUP(B162,[2]Sheet1!$C$2:$D$299,2,FALSE)</f>
        <v>69800</v>
      </c>
      <c r="R162" s="17">
        <v>81000</v>
      </c>
      <c r="S162" s="17">
        <f t="shared" si="24"/>
        <v>11200</v>
      </c>
      <c r="T162" s="43">
        <f t="shared" si="25"/>
        <v>11200</v>
      </c>
      <c r="U162" s="20" t="str">
        <f t="shared" si="26"/>
        <v>AL DÍA</v>
      </c>
      <c r="V162" s="21">
        <f>VLOOKUP(B162,'[3]Deal List'!$F$4:$Q$302,8,FALSE)</f>
        <v>1</v>
      </c>
      <c r="W162" s="22" t="str">
        <f>VLOOKUP(B162,'[3]Deal List'!$F$4:$Q$302,9,FALSE)</f>
        <v>APROBADA</v>
      </c>
      <c r="X162" s="23">
        <f>VLOOKUP(B162,'[3]Deal List'!$F$4:$Q$302,12,FALSE)</f>
        <v>0</v>
      </c>
    </row>
    <row r="163" spans="1:24" x14ac:dyDescent="0.3">
      <c r="A163" s="9" t="s">
        <v>162</v>
      </c>
      <c r="B163" s="9">
        <v>1401</v>
      </c>
      <c r="C163" s="9" t="str">
        <f>VLOOKUP(B163,'[1]Matriz Precios A'!$B$3:$BN$301,2,FALSE)</f>
        <v>D12</v>
      </c>
      <c r="D163" s="10">
        <f>VLOOKUP(B163,'[1]Matriz Precios A'!$B$3:$BN$301,34,FALSE)</f>
        <v>1172500</v>
      </c>
      <c r="E163" s="11">
        <f>VLOOKUP(B163,'[1]Matriz Precios A'!$B$3:$BN$301,3,FALSE)</f>
        <v>59.5</v>
      </c>
      <c r="F163" s="11">
        <v>0</v>
      </c>
      <c r="G163" s="12">
        <f>VLOOKUP(B163,'[1]Matriz Precios A'!$B$3:$BP$301,7,FALSE)</f>
        <v>0</v>
      </c>
      <c r="H163" s="13">
        <f t="shared" si="18"/>
        <v>0</v>
      </c>
      <c r="I163" s="13">
        <f>VLOOKUP(B163,'[1]Matriz Precios A'!$B$3:$BP$301,8,FALSE)</f>
        <v>1</v>
      </c>
      <c r="J163" s="11">
        <f t="shared" si="19"/>
        <v>25</v>
      </c>
      <c r="K163" s="13">
        <f t="shared" si="20"/>
        <v>5.3</v>
      </c>
      <c r="L163" s="11">
        <f t="shared" si="21"/>
        <v>89.8</v>
      </c>
      <c r="M163" s="14">
        <f>$H$200</f>
        <v>14696.813977389518</v>
      </c>
      <c r="N163" s="14">
        <f t="shared" si="22"/>
        <v>1319800</v>
      </c>
      <c r="O163" s="14">
        <f t="shared" si="23"/>
        <v>147300</v>
      </c>
      <c r="P163" s="16">
        <v>117300</v>
      </c>
      <c r="Q163" s="16">
        <f>VLOOKUP(B163,[2]Sheet1!$C$2:$D$299,2,FALSE)</f>
        <v>117300</v>
      </c>
      <c r="R163" s="17">
        <v>129000</v>
      </c>
      <c r="S163" s="17">
        <f t="shared" si="24"/>
        <v>11700</v>
      </c>
      <c r="T163" s="43">
        <f t="shared" si="25"/>
        <v>11700</v>
      </c>
      <c r="U163" s="20" t="str">
        <f t="shared" si="26"/>
        <v>AL DÍA</v>
      </c>
      <c r="V163" s="21">
        <f>VLOOKUP(B163,'[3]Deal List'!$F$4:$Q$302,8,FALSE)</f>
        <v>2</v>
      </c>
      <c r="W163" s="22" t="str">
        <f>VLOOKUP(B163,'[3]Deal List'!$F$4:$Q$302,9,FALSE)</f>
        <v>DENEGADA</v>
      </c>
      <c r="X163" s="23" t="str">
        <f>VLOOKUP(B163,'[3]Deal List'!$F$4:$Q$302,12,FALSE)</f>
        <v>Cliente posee un RCI del 51%</v>
      </c>
    </row>
    <row r="164" spans="1:24" x14ac:dyDescent="0.3">
      <c r="A164" s="27" t="s">
        <v>163</v>
      </c>
      <c r="B164" s="27">
        <v>1311</v>
      </c>
      <c r="C164" s="9" t="str">
        <f>VLOOKUP(B164,'[1]Matriz Precios A'!$B$3:$BN$301,2,FALSE)</f>
        <v>C5</v>
      </c>
      <c r="D164" s="10">
        <f>VLOOKUP(B164,'[1]Matriz Precios A'!$B$3:$BN$301,34,FALSE)</f>
        <v>1022010</v>
      </c>
      <c r="E164" s="11">
        <f>VLOOKUP(B164,'[1]Matriz Precios A'!$B$3:$BN$301,3,FALSE)</f>
        <v>54.86</v>
      </c>
      <c r="F164" s="11">
        <v>0</v>
      </c>
      <c r="G164" s="12">
        <f>VLOOKUP(B164,'[1]Matriz Precios A'!$B$3:$BP$301,7,FALSE)</f>
        <v>1</v>
      </c>
      <c r="H164" s="13">
        <f t="shared" si="18"/>
        <v>12.5</v>
      </c>
      <c r="I164" s="13">
        <f>VLOOKUP(B164,'[1]Matriz Precios A'!$B$3:$BP$301,8,FALSE)</f>
        <v>0</v>
      </c>
      <c r="J164" s="11">
        <f t="shared" si="19"/>
        <v>0</v>
      </c>
      <c r="K164" s="13">
        <f t="shared" si="20"/>
        <v>0</v>
      </c>
      <c r="L164" s="11">
        <f t="shared" si="21"/>
        <v>67.36</v>
      </c>
      <c r="M164" s="14">
        <f>$H$198</f>
        <v>16888.888888888891</v>
      </c>
      <c r="N164" s="14">
        <f t="shared" si="22"/>
        <v>1137700</v>
      </c>
      <c r="O164" s="14">
        <f t="shared" si="23"/>
        <v>115690</v>
      </c>
      <c r="P164" s="15">
        <v>102201</v>
      </c>
      <c r="Q164" s="16">
        <f>VLOOKUP(B164,[2]Sheet1!$C$2:$D$299,2,FALSE)</f>
        <v>102201</v>
      </c>
      <c r="R164" s="17">
        <v>114496</v>
      </c>
      <c r="S164" s="17">
        <f t="shared" si="24"/>
        <v>12295</v>
      </c>
      <c r="T164" s="43">
        <f t="shared" si="25"/>
        <v>12295</v>
      </c>
      <c r="U164" s="20" t="str">
        <f t="shared" si="26"/>
        <v>AL DÍA</v>
      </c>
      <c r="V164" s="21">
        <f>VLOOKUP(B164,'[3]Deal List'!$F$4:$Q$302,8,FALSE)</f>
        <v>2</v>
      </c>
      <c r="W164" s="22" t="str">
        <f>VLOOKUP(B164,'[3]Deal List'!$F$4:$Q$302,9,FALSE)</f>
        <v>APROBADA</v>
      </c>
      <c r="X164" s="23">
        <f>VLOOKUP(B164,'[3]Deal List'!$F$4:$Q$302,12,FALSE)</f>
        <v>0</v>
      </c>
    </row>
    <row r="165" spans="1:24" x14ac:dyDescent="0.3">
      <c r="A165" s="27" t="s">
        <v>164</v>
      </c>
      <c r="B165" s="27">
        <v>604</v>
      </c>
      <c r="C165" s="9" t="str">
        <f>VLOOKUP(B165,'[1]Matriz Precios A'!$B$3:$BN$301,2,FALSE)</f>
        <v>B3</v>
      </c>
      <c r="D165" s="10">
        <f>VLOOKUP(B165,'[1]Matriz Precios A'!$B$3:$BN$301,34,FALSE)</f>
        <v>887400</v>
      </c>
      <c r="E165" s="11">
        <f>VLOOKUP(B165,'[1]Matriz Precios A'!$B$3:$BN$301,3,FALSE)</f>
        <v>48.96</v>
      </c>
      <c r="F165" s="11">
        <v>0</v>
      </c>
      <c r="G165" s="12">
        <f>VLOOKUP(B165,'[1]Matriz Precios A'!$B$3:$BP$301,7,FALSE)</f>
        <v>1</v>
      </c>
      <c r="H165" s="13">
        <f t="shared" si="18"/>
        <v>12.5</v>
      </c>
      <c r="I165" s="13">
        <f>VLOOKUP(B165,'[1]Matriz Precios A'!$B$3:$BP$301,8,FALSE)</f>
        <v>0</v>
      </c>
      <c r="J165" s="11">
        <f t="shared" si="19"/>
        <v>0</v>
      </c>
      <c r="K165" s="13">
        <f t="shared" si="20"/>
        <v>0</v>
      </c>
      <c r="L165" s="11">
        <f t="shared" si="21"/>
        <v>61.46</v>
      </c>
      <c r="M165" s="14">
        <f>$H$196</f>
        <v>16800</v>
      </c>
      <c r="N165" s="14">
        <f t="shared" si="22"/>
        <v>1032600</v>
      </c>
      <c r="O165" s="14">
        <f t="shared" si="23"/>
        <v>145200</v>
      </c>
      <c r="P165" s="15">
        <v>88800</v>
      </c>
      <c r="Q165" s="16">
        <f>VLOOKUP(B165,[2]Sheet1!$C$2:$D$299,2,FALSE)</f>
        <v>88800</v>
      </c>
      <c r="R165" s="17">
        <v>103400</v>
      </c>
      <c r="S165" s="17">
        <f t="shared" si="24"/>
        <v>14600</v>
      </c>
      <c r="T165" s="43">
        <f t="shared" si="25"/>
        <v>14600</v>
      </c>
      <c r="U165" s="20" t="str">
        <f t="shared" si="26"/>
        <v>AL DÍA</v>
      </c>
      <c r="V165" s="21">
        <f>VLOOKUP(B165,'[3]Deal List'!$F$4:$Q$302,8,FALSE)</f>
        <v>2</v>
      </c>
      <c r="W165" s="22" t="str">
        <f>VLOOKUP(B165,'[3]Deal List'!$F$4:$Q$302,9,FALSE)</f>
        <v>APROBADA</v>
      </c>
      <c r="X165" s="23">
        <f>VLOOKUP(B165,'[3]Deal List'!$F$4:$Q$302,12,FALSE)</f>
        <v>0</v>
      </c>
    </row>
    <row r="166" spans="1:24" x14ac:dyDescent="0.3">
      <c r="A166" s="22" t="s">
        <v>165</v>
      </c>
      <c r="B166" s="22">
        <v>819</v>
      </c>
      <c r="C166" s="9" t="str">
        <f>VLOOKUP(B166,'[1]Matriz Precios A'!$B$3:$BN$301,2,FALSE)</f>
        <v>C3</v>
      </c>
      <c r="D166" s="10">
        <f>VLOOKUP(B166,'[1]Matriz Precios A'!$B$3:$BN$301,34,FALSE)</f>
        <v>967700</v>
      </c>
      <c r="E166" s="11">
        <f>VLOOKUP(B166,'[1]Matriz Precios A'!$B$3:$BN$301,3,FALSE)</f>
        <v>54.27</v>
      </c>
      <c r="F166" s="11">
        <v>0</v>
      </c>
      <c r="G166" s="12">
        <f>VLOOKUP(B166,'[1]Matriz Precios A'!$B$3:$BP$301,7,FALSE)</f>
        <v>1</v>
      </c>
      <c r="H166" s="13">
        <f t="shared" si="18"/>
        <v>12.5</v>
      </c>
      <c r="I166" s="13">
        <f>VLOOKUP(B166,'[1]Matriz Precios A'!$B$3:$BP$301,8,FALSE)</f>
        <v>0</v>
      </c>
      <c r="J166" s="11">
        <f t="shared" si="19"/>
        <v>0</v>
      </c>
      <c r="K166" s="13">
        <f t="shared" si="20"/>
        <v>0</v>
      </c>
      <c r="L166" s="11">
        <f t="shared" si="21"/>
        <v>66.77000000000001</v>
      </c>
      <c r="M166" s="14">
        <f>$H$198</f>
        <v>16888.888888888891</v>
      </c>
      <c r="N166" s="14">
        <f t="shared" si="22"/>
        <v>1127700</v>
      </c>
      <c r="O166" s="14">
        <f t="shared" si="23"/>
        <v>160000</v>
      </c>
      <c r="P166" s="16">
        <v>96800</v>
      </c>
      <c r="Q166" s="16">
        <f>VLOOKUP(B166,[2]Sheet1!$C$2:$D$299,2,FALSE)</f>
        <v>96800</v>
      </c>
      <c r="R166" s="17">
        <v>111600</v>
      </c>
      <c r="S166" s="17">
        <f t="shared" si="24"/>
        <v>14800</v>
      </c>
      <c r="T166" s="43">
        <f t="shared" si="25"/>
        <v>14800</v>
      </c>
      <c r="U166" s="20" t="str">
        <f t="shared" si="26"/>
        <v>AL DÍA</v>
      </c>
      <c r="V166" s="21">
        <f>VLOOKUP(B166,'[3]Deal List'!$F$4:$Q$302,8,FALSE)</f>
        <v>1</v>
      </c>
      <c r="W166" s="22" t="str">
        <f>VLOOKUP(B166,'[3]Deal List'!$F$4:$Q$302,9,FALSE)</f>
        <v>APROBADA</v>
      </c>
      <c r="X166" s="23">
        <f>VLOOKUP(B166,'[3]Deal List'!$F$4:$Q$302,12,FALSE)</f>
        <v>0</v>
      </c>
    </row>
    <row r="167" spans="1:24" x14ac:dyDescent="0.3">
      <c r="A167" s="29" t="s">
        <v>166</v>
      </c>
      <c r="B167" s="29">
        <v>606</v>
      </c>
      <c r="C167" s="9" t="str">
        <f>VLOOKUP(B167,'[1]Matriz Precios A'!$B$3:$BN$301,2,FALSE)</f>
        <v>D8</v>
      </c>
      <c r="D167" s="10">
        <f>VLOOKUP(B167,'[1]Matriz Precios A'!$B$3:$BN$301,34,FALSE)</f>
        <v>1379595</v>
      </c>
      <c r="E167" s="11">
        <f>VLOOKUP(B167,'[1]Matriz Precios A'!$B$3:$BN$301,3,FALSE)</f>
        <v>69.31</v>
      </c>
      <c r="F167" s="11">
        <v>0</v>
      </c>
      <c r="G167" s="12">
        <f>VLOOKUP(B167,'[1]Matriz Precios A'!$B$3:$BP$301,7,FALSE)</f>
        <v>0</v>
      </c>
      <c r="H167" s="13">
        <f t="shared" si="18"/>
        <v>0</v>
      </c>
      <c r="I167" s="13">
        <f>VLOOKUP(B167,'[1]Matriz Precios A'!$B$3:$BP$301,8,FALSE)</f>
        <v>1</v>
      </c>
      <c r="J167" s="11">
        <f t="shared" si="19"/>
        <v>25</v>
      </c>
      <c r="K167" s="13">
        <f t="shared" si="20"/>
        <v>5.3</v>
      </c>
      <c r="L167" s="11">
        <f t="shared" si="21"/>
        <v>99.61</v>
      </c>
      <c r="M167" s="14">
        <f>$H$200</f>
        <v>14696.813977389518</v>
      </c>
      <c r="N167" s="14">
        <f t="shared" si="22"/>
        <v>1464000</v>
      </c>
      <c r="O167" s="14">
        <f t="shared" si="23"/>
        <v>84405</v>
      </c>
      <c r="P167" s="15">
        <v>137995</v>
      </c>
      <c r="Q167" s="16">
        <f>VLOOKUP(B167,[2]Sheet1!$C$2:$D$299,2,FALSE)</f>
        <v>137995</v>
      </c>
      <c r="R167" s="17">
        <v>154000</v>
      </c>
      <c r="S167" s="17">
        <f t="shared" si="24"/>
        <v>16005</v>
      </c>
      <c r="T167" s="43">
        <f t="shared" si="25"/>
        <v>16005</v>
      </c>
      <c r="U167" s="20" t="str">
        <f t="shared" si="26"/>
        <v>AL DÍA</v>
      </c>
      <c r="V167" s="21">
        <f>VLOOKUP(B167,'[3]Deal List'!$F$4:$Q$302,8,FALSE)</f>
        <v>2</v>
      </c>
      <c r="W167" s="22" t="str">
        <f>VLOOKUP(B167,'[3]Deal List'!$F$4:$Q$302,9,FALSE)</f>
        <v>APROBADA</v>
      </c>
      <c r="X167" s="23" t="str">
        <f>VLOOKUP(B167,'[3]Deal List'!$F$4:$Q$302,12,FALSE)</f>
        <v>Aprobada Condicionada, no aumentar su RCI</v>
      </c>
    </row>
    <row r="168" spans="1:24" x14ac:dyDescent="0.3">
      <c r="A168" s="9" t="s">
        <v>167</v>
      </c>
      <c r="B168" s="9">
        <v>802</v>
      </c>
      <c r="C168" s="9" t="str">
        <f>VLOOKUP(B168,'[1]Matriz Precios A'!$B$3:$BN$301,2,FALSE)</f>
        <v>C1</v>
      </c>
      <c r="D168" s="10">
        <f>VLOOKUP(B168,'[1]Matriz Precios A'!$B$3:$BN$301,34,FALSE)</f>
        <v>1166800</v>
      </c>
      <c r="E168" s="11">
        <f>VLOOKUP(B168,'[1]Matriz Precios A'!$B$3:$BN$301,3,FALSE)</f>
        <v>55.09</v>
      </c>
      <c r="F168" s="11">
        <v>0</v>
      </c>
      <c r="G168" s="12">
        <f>VLOOKUP(B168,'[1]Matriz Precios A'!$B$3:$BP$301,7,FALSE)</f>
        <v>0</v>
      </c>
      <c r="H168" s="13">
        <f t="shared" si="18"/>
        <v>0</v>
      </c>
      <c r="I168" s="13">
        <f>VLOOKUP(B168,'[1]Matriz Precios A'!$B$3:$BP$301,8,FALSE)</f>
        <v>1</v>
      </c>
      <c r="J168" s="11">
        <f t="shared" si="19"/>
        <v>25</v>
      </c>
      <c r="K168" s="13">
        <f t="shared" si="20"/>
        <v>5.3</v>
      </c>
      <c r="L168" s="11">
        <f t="shared" si="21"/>
        <v>85.39</v>
      </c>
      <c r="M168" s="14">
        <f>$H$199</f>
        <v>15826.494724501759</v>
      </c>
      <c r="N168" s="14">
        <f t="shared" si="22"/>
        <v>1351500</v>
      </c>
      <c r="O168" s="14">
        <f t="shared" si="23"/>
        <v>184700</v>
      </c>
      <c r="P168" s="16">
        <v>116700</v>
      </c>
      <c r="Q168" s="16">
        <f>VLOOKUP(B168,[2]Sheet1!$C$2:$D$299,2,FALSE)</f>
        <v>116700</v>
      </c>
      <c r="R168" s="17">
        <v>133100</v>
      </c>
      <c r="S168" s="17">
        <f t="shared" si="24"/>
        <v>16400</v>
      </c>
      <c r="T168" s="43">
        <f t="shared" si="25"/>
        <v>16400</v>
      </c>
      <c r="U168" s="20" t="str">
        <f t="shared" si="26"/>
        <v>AL DÍA</v>
      </c>
      <c r="V168" s="21">
        <f>VLOOKUP(B168,'[3]Deal List'!$F$4:$Q$302,8,FALSE)</f>
        <v>1</v>
      </c>
      <c r="W168" s="22" t="str">
        <f>VLOOKUP(B168,'[3]Deal List'!$F$4:$Q$302,9,FALSE)</f>
        <v>DENEGADA</v>
      </c>
      <c r="X168" s="23" t="str">
        <f>VLOOKUP(B168,'[3]Deal List'!$F$4:$Q$302,12,FALSE)</f>
        <v xml:space="preserve">Cliente posee un RCI del 100% (Crédito Hipotecario Fiduciario por Q16.8 millones y dos Hipotecarios por Q2.4 millones) </v>
      </c>
    </row>
    <row r="169" spans="1:24" x14ac:dyDescent="0.3">
      <c r="A169" s="22" t="s">
        <v>168</v>
      </c>
      <c r="B169" s="9">
        <v>1015</v>
      </c>
      <c r="C169" s="9" t="str">
        <f>VLOOKUP(B169,'[1]Matriz Precios A'!$B$3:$BN$301,2,FALSE)</f>
        <v>E2</v>
      </c>
      <c r="D169" s="10">
        <f>VLOOKUP(B169,'[1]Matriz Precios A'!$B$3:$BN$301,34,FALSE)</f>
        <v>1333600</v>
      </c>
      <c r="E169" s="11">
        <f>VLOOKUP(B169,'[1]Matriz Precios A'!$B$3:$BN$301,3,FALSE)</f>
        <v>70.81</v>
      </c>
      <c r="F169" s="11">
        <v>0</v>
      </c>
      <c r="G169" s="12">
        <f>VLOOKUP(B169,'[1]Matriz Precios A'!$B$3:$BP$301,7,FALSE)</f>
        <v>0</v>
      </c>
      <c r="H169" s="13">
        <f t="shared" si="18"/>
        <v>0</v>
      </c>
      <c r="I169" s="13">
        <f>VLOOKUP(B169,'[1]Matriz Precios A'!$B$3:$BP$301,8,FALSE)</f>
        <v>1</v>
      </c>
      <c r="J169" s="11">
        <f t="shared" si="19"/>
        <v>25</v>
      </c>
      <c r="K169" s="13">
        <f t="shared" si="20"/>
        <v>5.3</v>
      </c>
      <c r="L169" s="11">
        <f t="shared" si="21"/>
        <v>101.11</v>
      </c>
      <c r="M169" s="14">
        <f>$H$201</f>
        <v>15392.061955469506</v>
      </c>
      <c r="N169" s="14">
        <f t="shared" si="22"/>
        <v>1556300</v>
      </c>
      <c r="O169" s="14">
        <f t="shared" si="23"/>
        <v>222700</v>
      </c>
      <c r="P169" s="16">
        <v>133400</v>
      </c>
      <c r="Q169" s="16">
        <f>VLOOKUP(B169,[2]Sheet1!$C$2:$D$299,2,FALSE)</f>
        <v>133360</v>
      </c>
      <c r="R169" s="17">
        <v>153397</v>
      </c>
      <c r="S169" s="17">
        <f t="shared" si="24"/>
        <v>20037</v>
      </c>
      <c r="T169" s="43">
        <f t="shared" si="25"/>
        <v>19997</v>
      </c>
      <c r="U169" s="20" t="str">
        <f t="shared" si="26"/>
        <v>AL DÍA</v>
      </c>
      <c r="V169" s="21">
        <f>VLOOKUP(B169,'[3]Deal List'!$F$4:$Q$302,8,FALSE)</f>
        <v>1</v>
      </c>
      <c r="W169" s="22" t="str">
        <f>VLOOKUP(B169,'[3]Deal List'!$F$4:$Q$302,9,FALSE)</f>
        <v>DENEGADA</v>
      </c>
      <c r="X169" s="23" t="str">
        <f>VLOOKUP(B169,'[3]Deal List'!$F$4:$Q$302,12,FALSE)</f>
        <v>Cliente posee un RCI del 59% (Fiduciario por Q624 mil y TC por Q160 mil) adicionar otro deudor, incrementar ingresos / enganche o cancelar deuda.</v>
      </c>
    </row>
    <row r="170" spans="1:24" x14ac:dyDescent="0.3">
      <c r="A170" s="27" t="s">
        <v>169</v>
      </c>
      <c r="B170" s="27">
        <v>616</v>
      </c>
      <c r="C170" s="9" t="str">
        <f>VLOOKUP(B170,'[1]Matriz Precios A'!$B$3:$BN$301,2,FALSE)</f>
        <v>B4</v>
      </c>
      <c r="D170" s="10">
        <f>VLOOKUP(B170,'[1]Matriz Precios A'!$B$3:$BN$301,34,FALSE)</f>
        <v>901400</v>
      </c>
      <c r="E170" s="11">
        <f>VLOOKUP(B170,'[1]Matriz Precios A'!$B$3:$BN$301,3,FALSE)</f>
        <v>49.77</v>
      </c>
      <c r="F170" s="11">
        <v>0</v>
      </c>
      <c r="G170" s="12">
        <f>VLOOKUP(B170,'[1]Matriz Precios A'!$B$3:$BP$301,7,FALSE)</f>
        <v>1</v>
      </c>
      <c r="H170" s="13">
        <f t="shared" si="18"/>
        <v>12.5</v>
      </c>
      <c r="I170" s="13">
        <f>VLOOKUP(B170,'[1]Matriz Precios A'!$B$3:$BP$301,8,FALSE)</f>
        <v>0</v>
      </c>
      <c r="J170" s="11">
        <f t="shared" si="19"/>
        <v>0</v>
      </c>
      <c r="K170" s="13">
        <f t="shared" si="20"/>
        <v>0</v>
      </c>
      <c r="L170" s="11">
        <f t="shared" si="21"/>
        <v>62.27</v>
      </c>
      <c r="M170" s="14">
        <f>$H$196</f>
        <v>16800</v>
      </c>
      <c r="N170" s="14">
        <f t="shared" si="22"/>
        <v>1046200</v>
      </c>
      <c r="O170" s="14">
        <f t="shared" si="23"/>
        <v>144800</v>
      </c>
      <c r="P170" s="15">
        <v>90200</v>
      </c>
      <c r="Q170" s="16">
        <f>VLOOKUP(B170,[2]Sheet1!$C$2:$D$299,2,FALSE)</f>
        <v>90200</v>
      </c>
      <c r="R170" s="17">
        <v>113000</v>
      </c>
      <c r="S170" s="17">
        <f t="shared" si="24"/>
        <v>22800</v>
      </c>
      <c r="T170" s="43">
        <f t="shared" si="25"/>
        <v>22800</v>
      </c>
      <c r="U170" s="20" t="str">
        <f t="shared" si="26"/>
        <v>AL DÍA</v>
      </c>
      <c r="V170" s="21">
        <f>VLOOKUP(B170,'[3]Deal List'!$F$4:$Q$302,8,FALSE)</f>
        <v>2</v>
      </c>
      <c r="W170" s="22" t="str">
        <f>VLOOKUP(B170,'[3]Deal List'!$F$4:$Q$302,9,FALSE)</f>
        <v>APROBADA</v>
      </c>
      <c r="X170" s="23">
        <f>VLOOKUP(B170,'[3]Deal List'!$F$4:$Q$302,12,FALSE)</f>
        <v>0</v>
      </c>
    </row>
    <row r="171" spans="1:24" x14ac:dyDescent="0.3">
      <c r="A171" s="9" t="s">
        <v>170</v>
      </c>
      <c r="B171" s="9">
        <v>1103</v>
      </c>
      <c r="C171" s="9" t="str">
        <f>VLOOKUP(B171,'[1]Matriz Precios A'!$B$3:$BN$301,2,FALSE)</f>
        <v>B4</v>
      </c>
      <c r="D171" s="10">
        <f>VLOOKUP(B171,'[1]Matriz Precios A'!$B$3:$BN$301,34,FALSE)</f>
        <v>901400</v>
      </c>
      <c r="E171" s="11">
        <f>VLOOKUP(B171,'[1]Matriz Precios A'!$B$3:$BN$301,3,FALSE)</f>
        <v>49.77</v>
      </c>
      <c r="F171" s="11">
        <v>0</v>
      </c>
      <c r="G171" s="12">
        <f>VLOOKUP(B171,'[1]Matriz Precios A'!$B$3:$BP$301,7,FALSE)</f>
        <v>1</v>
      </c>
      <c r="H171" s="13">
        <f t="shared" si="18"/>
        <v>12.5</v>
      </c>
      <c r="I171" s="13">
        <f>VLOOKUP(B171,'[1]Matriz Precios A'!$B$3:$BP$301,8,FALSE)</f>
        <v>0</v>
      </c>
      <c r="J171" s="11">
        <f t="shared" si="19"/>
        <v>0</v>
      </c>
      <c r="K171" s="13">
        <f t="shared" si="20"/>
        <v>0</v>
      </c>
      <c r="L171" s="11">
        <f t="shared" si="21"/>
        <v>62.27</v>
      </c>
      <c r="M171" s="14">
        <f>$H$196</f>
        <v>16800</v>
      </c>
      <c r="N171" s="14">
        <f t="shared" si="22"/>
        <v>1046200</v>
      </c>
      <c r="O171" s="14">
        <f t="shared" si="23"/>
        <v>144800</v>
      </c>
      <c r="P171" s="16">
        <v>180300</v>
      </c>
      <c r="Q171" s="16">
        <f>VLOOKUP(B171,[2]Sheet1!$C$2:$D$299,2,FALSE)</f>
        <v>180300</v>
      </c>
      <c r="R171" s="17">
        <v>205200</v>
      </c>
      <c r="S171" s="17">
        <f t="shared" si="24"/>
        <v>24900</v>
      </c>
      <c r="T171" s="43">
        <f t="shared" si="25"/>
        <v>24900</v>
      </c>
      <c r="U171" s="20" t="str">
        <f t="shared" si="26"/>
        <v>AL DÍA</v>
      </c>
      <c r="V171" s="21">
        <f>VLOOKUP(B171,'[3]Deal List'!$F$4:$Q$302,8,FALSE)</f>
        <v>1</v>
      </c>
      <c r="W171" s="22" t="str">
        <f>VLOOKUP(B171,'[3]Deal List'!$F$4:$Q$302,9,FALSE)</f>
        <v>APROBADA</v>
      </c>
      <c r="X171" s="23">
        <f>VLOOKUP(B171,'[3]Deal List'!$F$4:$Q$302,12,FALSE)</f>
        <v>0</v>
      </c>
    </row>
    <row r="172" spans="1:24" x14ac:dyDescent="0.3">
      <c r="A172" s="29" t="s">
        <v>171</v>
      </c>
      <c r="B172" s="27">
        <v>508</v>
      </c>
      <c r="C172" s="9" t="str">
        <f>VLOOKUP(B172,'[1]Matriz Precios A'!$B$3:$BN$301,2,FALSE)</f>
        <v>C6</v>
      </c>
      <c r="D172" s="10">
        <f>VLOOKUP(B172,'[1]Matriz Precios A'!$B$3:$BN$301,34,FALSE)</f>
        <v>1183693</v>
      </c>
      <c r="E172" s="11">
        <f>VLOOKUP(B172,'[1]Matriz Precios A'!$B$3:$BN$301,3,FALSE)</f>
        <v>55</v>
      </c>
      <c r="F172" s="11">
        <v>0</v>
      </c>
      <c r="G172" s="12">
        <f>VLOOKUP(B172,'[1]Matriz Precios A'!$B$3:$BP$301,7,FALSE)</f>
        <v>0</v>
      </c>
      <c r="H172" s="13">
        <f t="shared" si="18"/>
        <v>0</v>
      </c>
      <c r="I172" s="13">
        <f>VLOOKUP(B172,'[1]Matriz Precios A'!$B$3:$BP$301,8,FALSE)</f>
        <v>1</v>
      </c>
      <c r="J172" s="11">
        <f t="shared" si="19"/>
        <v>25</v>
      </c>
      <c r="K172" s="13">
        <f t="shared" si="20"/>
        <v>5.3</v>
      </c>
      <c r="L172" s="11">
        <f t="shared" si="21"/>
        <v>85.3</v>
      </c>
      <c r="M172" s="14">
        <f>$H$199</f>
        <v>15826.494724501759</v>
      </c>
      <c r="N172" s="14">
        <f t="shared" si="22"/>
        <v>1350000</v>
      </c>
      <c r="O172" s="14">
        <f t="shared" si="23"/>
        <v>166307</v>
      </c>
      <c r="P172" s="15">
        <v>118393</v>
      </c>
      <c r="Q172" s="16">
        <f>VLOOKUP(B172,[2]Sheet1!$C$2:$D$299,2,FALSE)</f>
        <v>118393</v>
      </c>
      <c r="R172" s="17">
        <v>144500</v>
      </c>
      <c r="S172" s="17">
        <f t="shared" si="24"/>
        <v>26107</v>
      </c>
      <c r="T172" s="43">
        <f t="shared" si="25"/>
        <v>26107</v>
      </c>
      <c r="U172" s="20" t="str">
        <f t="shared" si="26"/>
        <v>AL DÍA</v>
      </c>
      <c r="V172" s="21">
        <f>VLOOKUP(B172,'[3]Deal List'!$F$4:$Q$302,8,FALSE)</f>
        <v>2</v>
      </c>
      <c r="W172" s="22" t="str">
        <f>VLOOKUP(B172,'[3]Deal List'!$F$4:$Q$302,9,FALSE)</f>
        <v>DENEGADA</v>
      </c>
      <c r="X172" s="23" t="str">
        <f>VLOOKUP(B172,'[3]Deal List'!$F$4:$Q$302,12,FALSE)</f>
        <v>Clientes poseen RCI del 71% (Evelyn Samayoa dos prestamos prendario por Q206 mil y TC por Q37.5 mil. Liza Samayoa tiene TC con Q7mil)</v>
      </c>
    </row>
    <row r="173" spans="1:24" x14ac:dyDescent="0.3">
      <c r="A173" s="27" t="s">
        <v>172</v>
      </c>
      <c r="B173" s="31">
        <v>204</v>
      </c>
      <c r="C173" s="9" t="str">
        <f>VLOOKUP(B173,'[1]Matriz Precios A'!$B$3:$BN$301,2,FALSE)</f>
        <v>B1</v>
      </c>
      <c r="D173" s="10">
        <f>VLOOKUP(B173,'[1]Matriz Precios A'!$B$3:$BN$301,34,FALSE)</f>
        <v>1032728.18978229</v>
      </c>
      <c r="E173" s="11">
        <f>VLOOKUP(B173,'[1]Matriz Precios A'!$B$3:$BN$301,3,FALSE)</f>
        <v>48.69</v>
      </c>
      <c r="F173" s="11">
        <v>0</v>
      </c>
      <c r="G173" s="12">
        <f>VLOOKUP(B173,'[1]Matriz Precios A'!$B$3:$BP$301,7,FALSE)</f>
        <v>1</v>
      </c>
      <c r="H173" s="13">
        <f t="shared" si="18"/>
        <v>12.5</v>
      </c>
      <c r="I173" s="13">
        <f>VLOOKUP(B173,'[1]Matriz Precios A'!$B$3:$BP$301,8,FALSE)</f>
        <v>0</v>
      </c>
      <c r="J173" s="11">
        <f t="shared" si="19"/>
        <v>0</v>
      </c>
      <c r="K173" s="13">
        <f t="shared" si="20"/>
        <v>0</v>
      </c>
      <c r="L173" s="11">
        <f t="shared" si="21"/>
        <v>61.19</v>
      </c>
      <c r="M173" s="14">
        <f>$H$196</f>
        <v>16800</v>
      </c>
      <c r="N173" s="14">
        <f t="shared" si="22"/>
        <v>1028000</v>
      </c>
      <c r="O173" s="32">
        <f t="shared" si="23"/>
        <v>-4728.189782290021</v>
      </c>
      <c r="P173" s="15">
        <v>101595</v>
      </c>
      <c r="Q173" s="16">
        <f>VLOOKUP(B173,[2]Sheet1!$C$2:$D$299,2,FALSE)</f>
        <v>87136</v>
      </c>
      <c r="R173" s="17">
        <v>120000</v>
      </c>
      <c r="S173" s="17">
        <f t="shared" si="24"/>
        <v>32864</v>
      </c>
      <c r="T173" s="43">
        <f t="shared" si="25"/>
        <v>18405</v>
      </c>
      <c r="U173" s="20" t="str">
        <f t="shared" si="26"/>
        <v>AL DÍA</v>
      </c>
      <c r="V173" s="21">
        <f>VLOOKUP(B173,'[3]Deal List'!$F$4:$Q$302,8,FALSE)</f>
        <v>2</v>
      </c>
      <c r="W173" s="22" t="str">
        <f>VLOOKUP(B173,'[3]Deal List'!$F$4:$Q$302,9,FALSE)</f>
        <v>APROBADA</v>
      </c>
      <c r="X173" s="23" t="str">
        <f>VLOOKUP(B173,'[3]Deal List'!$F$4:$Q$302,12,FALSE)</f>
        <v>Cliente no posee record crediticio, Banco indica que no es un impedimiento para solicitar el crédito hipotecario.</v>
      </c>
    </row>
    <row r="174" spans="1:24" x14ac:dyDescent="0.3">
      <c r="A174" s="44" t="s">
        <v>173</v>
      </c>
      <c r="B174" s="29">
        <v>1109</v>
      </c>
      <c r="C174" s="9" t="str">
        <f>VLOOKUP(B174,'[1]Matriz Precios A'!$B$3:$BN$301,2,FALSE)</f>
        <v>C5</v>
      </c>
      <c r="D174" s="10">
        <f>VLOOKUP(B174,'[1]Matriz Precios A'!$B$3:$BN$301,34,FALSE)</f>
        <v>1182285.73</v>
      </c>
      <c r="E174" s="11">
        <f>VLOOKUP(B174,'[1]Matriz Precios A'!$B$3:$BN$301,3,FALSE)</f>
        <v>54.86</v>
      </c>
      <c r="F174" s="11">
        <v>0</v>
      </c>
      <c r="G174" s="12">
        <f>VLOOKUP(B174,'[1]Matriz Precios A'!$B$3:$BP$301,7,FALSE)</f>
        <v>0</v>
      </c>
      <c r="H174" s="13">
        <f t="shared" si="18"/>
        <v>0</v>
      </c>
      <c r="I174" s="13">
        <f>VLOOKUP(B174,'[1]Matriz Precios A'!$B$3:$BP$301,8,FALSE)</f>
        <v>1</v>
      </c>
      <c r="J174" s="11">
        <f t="shared" si="19"/>
        <v>25</v>
      </c>
      <c r="K174" s="13">
        <f t="shared" si="20"/>
        <v>5.3</v>
      </c>
      <c r="L174" s="11">
        <f t="shared" si="21"/>
        <v>85.16</v>
      </c>
      <c r="M174" s="14">
        <f>$H$199</f>
        <v>15826.494724501759</v>
      </c>
      <c r="N174" s="14">
        <f t="shared" si="22"/>
        <v>1347800</v>
      </c>
      <c r="O174" s="14">
        <f t="shared" si="23"/>
        <v>165514.27000000002</v>
      </c>
      <c r="P174" s="15">
        <v>118285.73</v>
      </c>
      <c r="Q174" s="16">
        <f>VLOOKUP(B174,[2]Sheet1!$C$2:$D$299,2,FALSE)</f>
        <v>118285.73</v>
      </c>
      <c r="R174" s="17">
        <v>152178</v>
      </c>
      <c r="S174" s="17">
        <f t="shared" si="24"/>
        <v>33892.270000000004</v>
      </c>
      <c r="T174" s="43">
        <f t="shared" si="25"/>
        <v>33892.270000000004</v>
      </c>
      <c r="U174" s="20" t="str">
        <f t="shared" si="26"/>
        <v>AL DÍA</v>
      </c>
      <c r="V174" s="21">
        <f>VLOOKUP(B174,'[3]Deal List'!$F$4:$Q$302,8,FALSE)</f>
        <v>4</v>
      </c>
      <c r="W174" s="22" t="str">
        <f>VLOOKUP(B174,'[3]Deal List'!$F$4:$Q$302,9,FALSE)</f>
        <v>APROBADA</v>
      </c>
      <c r="X174" s="23">
        <f>VLOOKUP(B174,'[3]Deal List'!$F$4:$Q$302,12,FALSE)</f>
        <v>0</v>
      </c>
    </row>
    <row r="175" spans="1:24" x14ac:dyDescent="0.3">
      <c r="A175" s="29" t="s">
        <v>174</v>
      </c>
      <c r="B175" s="29">
        <v>717</v>
      </c>
      <c r="C175" s="9" t="str">
        <f>VLOOKUP(B175,'[1]Matriz Precios A'!$B$3:$BN$301,2,FALSE)</f>
        <v>B3</v>
      </c>
      <c r="D175" s="10">
        <f>VLOOKUP(B175,'[1]Matriz Precios A'!$B$3:$BN$301,34,FALSE)</f>
        <v>887400</v>
      </c>
      <c r="E175" s="11">
        <f>VLOOKUP(B175,'[1]Matriz Precios A'!$B$3:$BN$301,3,FALSE)</f>
        <v>48.96</v>
      </c>
      <c r="F175" s="11">
        <v>0</v>
      </c>
      <c r="G175" s="12">
        <f>VLOOKUP(B175,'[1]Matriz Precios A'!$B$3:$BP$301,7,FALSE)</f>
        <v>1</v>
      </c>
      <c r="H175" s="13">
        <f t="shared" si="18"/>
        <v>12.5</v>
      </c>
      <c r="I175" s="13">
        <f>VLOOKUP(B175,'[1]Matriz Precios A'!$B$3:$BP$301,8,FALSE)</f>
        <v>0</v>
      </c>
      <c r="J175" s="11">
        <f t="shared" si="19"/>
        <v>0</v>
      </c>
      <c r="K175" s="13">
        <f t="shared" si="20"/>
        <v>0</v>
      </c>
      <c r="L175" s="11">
        <f t="shared" si="21"/>
        <v>61.46</v>
      </c>
      <c r="M175" s="14">
        <f>$H$196</f>
        <v>16800</v>
      </c>
      <c r="N175" s="14">
        <f t="shared" si="22"/>
        <v>1032600</v>
      </c>
      <c r="O175" s="14">
        <f t="shared" si="23"/>
        <v>145200</v>
      </c>
      <c r="P175" s="15">
        <v>88800</v>
      </c>
      <c r="Q175" s="16">
        <f>VLOOKUP(B175,[2]Sheet1!$C$2:$D$299,2,FALSE)</f>
        <v>88800</v>
      </c>
      <c r="R175" s="17">
        <v>135960</v>
      </c>
      <c r="S175" s="17">
        <f t="shared" si="24"/>
        <v>47160</v>
      </c>
      <c r="T175" s="43">
        <f t="shared" si="25"/>
        <v>47160</v>
      </c>
      <c r="U175" s="20" t="str">
        <f t="shared" si="26"/>
        <v>AL DÍA</v>
      </c>
      <c r="V175" s="21">
        <f>VLOOKUP(B175,'[3]Deal List'!$F$4:$Q$302,8,FALSE)</f>
        <v>2</v>
      </c>
      <c r="W175" s="22" t="str">
        <f>VLOOKUP(B175,'[3]Deal List'!$F$4:$Q$302,9,FALSE)</f>
        <v>APROBADA</v>
      </c>
      <c r="X175" s="23">
        <f>VLOOKUP(B175,'[3]Deal List'!$F$4:$Q$302,12,FALSE)</f>
        <v>0</v>
      </c>
    </row>
    <row r="176" spans="1:24" x14ac:dyDescent="0.3">
      <c r="A176" s="28" t="s">
        <v>175</v>
      </c>
      <c r="B176" s="28">
        <v>512</v>
      </c>
      <c r="C176" s="9" t="str">
        <f>VLOOKUP(B176,'[1]Matriz Precios A'!$B$3:$BN$301,2,FALSE)</f>
        <v>A8</v>
      </c>
      <c r="D176" s="10">
        <f>VLOOKUP(B176,'[1]Matriz Precios A'!$B$3:$BN$301,34,FALSE)</f>
        <v>703500</v>
      </c>
      <c r="E176" s="11">
        <f>VLOOKUP(B176,'[1]Matriz Precios A'!$B$3:$BN$301,3,FALSE)</f>
        <v>35.94</v>
      </c>
      <c r="F176" s="11">
        <v>0</v>
      </c>
      <c r="G176" s="12">
        <f>VLOOKUP(B176,'[1]Matriz Precios A'!$B$3:$BP$301,7,FALSE)</f>
        <v>1</v>
      </c>
      <c r="H176" s="13">
        <f t="shared" si="18"/>
        <v>12.5</v>
      </c>
      <c r="I176" s="13">
        <f>VLOOKUP(B176,'[1]Matriz Precios A'!$B$3:$BP$301,8,FALSE)</f>
        <v>0</v>
      </c>
      <c r="J176" s="11">
        <f t="shared" si="19"/>
        <v>0</v>
      </c>
      <c r="K176" s="13">
        <f t="shared" si="20"/>
        <v>0</v>
      </c>
      <c r="L176" s="11">
        <f t="shared" si="21"/>
        <v>48.44</v>
      </c>
      <c r="M176" s="14">
        <f>$H$195</f>
        <v>18865.9793814433</v>
      </c>
      <c r="N176" s="14">
        <f t="shared" si="22"/>
        <v>913900</v>
      </c>
      <c r="O176" s="14">
        <f t="shared" si="23"/>
        <v>210400</v>
      </c>
      <c r="P176" s="16">
        <v>70400</v>
      </c>
      <c r="Q176" s="16">
        <f>VLOOKUP(B176,[2]Sheet1!$C$2:$D$299,2,FALSE)</f>
        <v>70400</v>
      </c>
      <c r="R176" s="17">
        <v>120402</v>
      </c>
      <c r="S176" s="17">
        <f t="shared" si="24"/>
        <v>50002</v>
      </c>
      <c r="T176" s="43">
        <f t="shared" si="25"/>
        <v>50002</v>
      </c>
      <c r="U176" s="20" t="str">
        <f t="shared" si="26"/>
        <v>AL DÍA</v>
      </c>
      <c r="V176" s="21">
        <f>VLOOKUP(B176,'[3]Deal List'!$F$4:$Q$302,8,FALSE)</f>
        <v>2</v>
      </c>
      <c r="W176" s="22" t="str">
        <f>VLOOKUP(B176,'[3]Deal List'!$F$4:$Q$302,9,FALSE)</f>
        <v>APROBADA</v>
      </c>
      <c r="X176" s="23">
        <f>VLOOKUP(B176,'[3]Deal List'!$F$4:$Q$302,12,FALSE)</f>
        <v>0</v>
      </c>
    </row>
    <row r="177" spans="1:24" x14ac:dyDescent="0.3">
      <c r="A177" s="9" t="s">
        <v>176</v>
      </c>
      <c r="B177" s="9">
        <v>1215</v>
      </c>
      <c r="C177" s="9" t="str">
        <f>VLOOKUP(B177,'[1]Matriz Precios A'!$B$3:$BN$301,2,FALSE)</f>
        <v>B4</v>
      </c>
      <c r="D177" s="10">
        <f>VLOOKUP(B177,'[1]Matriz Precios A'!$B$3:$BN$301,34,FALSE)</f>
        <v>858400</v>
      </c>
      <c r="E177" s="11">
        <f>VLOOKUP(B177,'[1]Matriz Precios A'!$B$3:$BN$301,3,FALSE)</f>
        <v>49.77</v>
      </c>
      <c r="F177" s="11">
        <v>0</v>
      </c>
      <c r="G177" s="12">
        <f>VLOOKUP(B177,'[1]Matriz Precios A'!$B$3:$BP$301,7,FALSE)</f>
        <v>1</v>
      </c>
      <c r="H177" s="13">
        <f t="shared" si="18"/>
        <v>12.5</v>
      </c>
      <c r="I177" s="13">
        <f>VLOOKUP(B177,'[1]Matriz Precios A'!$B$3:$BP$301,8,FALSE)</f>
        <v>0</v>
      </c>
      <c r="J177" s="11">
        <f t="shared" si="19"/>
        <v>0</v>
      </c>
      <c r="K177" s="13">
        <f t="shared" si="20"/>
        <v>0</v>
      </c>
      <c r="L177" s="11">
        <f t="shared" si="21"/>
        <v>62.27</v>
      </c>
      <c r="M177" s="14">
        <f>$H$196</f>
        <v>16800</v>
      </c>
      <c r="N177" s="14">
        <f t="shared" si="22"/>
        <v>1046200</v>
      </c>
      <c r="O177" s="14">
        <f t="shared" si="23"/>
        <v>187800</v>
      </c>
      <c r="P177" s="16">
        <v>85900</v>
      </c>
      <c r="Q177" s="16">
        <f>VLOOKUP(B177,[2]Sheet1!$C$2:$D$299,2,FALSE)</f>
        <v>85900</v>
      </c>
      <c r="R177" s="17">
        <v>138825</v>
      </c>
      <c r="S177" s="17">
        <f t="shared" si="24"/>
        <v>52925</v>
      </c>
      <c r="T177" s="43">
        <f t="shared" si="25"/>
        <v>52925</v>
      </c>
      <c r="U177" s="20" t="str">
        <f t="shared" si="26"/>
        <v>AL DÍA</v>
      </c>
      <c r="V177" s="21">
        <f>VLOOKUP(B177,'[3]Deal List'!$F$4:$Q$302,8,FALSE)</f>
        <v>1</v>
      </c>
      <c r="W177" s="22" t="str">
        <f>VLOOKUP(B177,'[3]Deal List'!$F$4:$Q$302,9,FALSE)</f>
        <v>APROBADA</v>
      </c>
      <c r="X177" s="23">
        <f>VLOOKUP(B177,'[3]Deal List'!$F$4:$Q$302,12,FALSE)</f>
        <v>0</v>
      </c>
    </row>
    <row r="178" spans="1:24" x14ac:dyDescent="0.3">
      <c r="A178" s="29" t="s">
        <v>174</v>
      </c>
      <c r="B178" s="29">
        <v>517</v>
      </c>
      <c r="C178" s="9" t="str">
        <f>VLOOKUP(B178,'[1]Matriz Precios A'!$B$3:$BN$301,2,FALSE)</f>
        <v>B3</v>
      </c>
      <c r="D178" s="10">
        <f>VLOOKUP(B178,'[1]Matriz Precios A'!$B$3:$BN$301,34,FALSE)</f>
        <v>871162.12</v>
      </c>
      <c r="E178" s="11">
        <f>VLOOKUP(B178,'[1]Matriz Precios A'!$B$3:$BN$301,3,FALSE)</f>
        <v>48.96</v>
      </c>
      <c r="F178" s="11">
        <v>0</v>
      </c>
      <c r="G178" s="12">
        <f>VLOOKUP(B178,'[1]Matriz Precios A'!$B$3:$BP$301,7,FALSE)</f>
        <v>1</v>
      </c>
      <c r="H178" s="13">
        <f t="shared" si="18"/>
        <v>12.5</v>
      </c>
      <c r="I178" s="13">
        <f>VLOOKUP(B178,'[1]Matriz Precios A'!$B$3:$BP$301,8,FALSE)</f>
        <v>0</v>
      </c>
      <c r="J178" s="11">
        <f t="shared" si="19"/>
        <v>0</v>
      </c>
      <c r="K178" s="13">
        <f t="shared" si="20"/>
        <v>0</v>
      </c>
      <c r="L178" s="11">
        <f t="shared" si="21"/>
        <v>61.46</v>
      </c>
      <c r="M178" s="14">
        <f>$H$196</f>
        <v>16800</v>
      </c>
      <c r="N178" s="14">
        <f t="shared" si="22"/>
        <v>1032600</v>
      </c>
      <c r="O178" s="14">
        <f t="shared" si="23"/>
        <v>161437.88</v>
      </c>
      <c r="P178" s="15">
        <v>87162.12</v>
      </c>
      <c r="Q178" s="16">
        <f>VLOOKUP(B178,[2]Sheet1!$C$2:$D$299,2,FALSE)</f>
        <v>87162.12</v>
      </c>
      <c r="R178" s="17">
        <v>143540</v>
      </c>
      <c r="S178" s="17">
        <f t="shared" si="24"/>
        <v>56377.880000000005</v>
      </c>
      <c r="T178" s="43">
        <f t="shared" si="25"/>
        <v>56377.880000000005</v>
      </c>
      <c r="U178" s="20" t="str">
        <f t="shared" si="26"/>
        <v>AL DÍA</v>
      </c>
      <c r="V178" s="21">
        <f>VLOOKUP(B178,'[3]Deal List'!$F$4:$Q$302,8,FALSE)</f>
        <v>2</v>
      </c>
      <c r="W178" s="22" t="str">
        <f>VLOOKUP(B178,'[3]Deal List'!$F$4:$Q$302,9,FALSE)</f>
        <v>APROBADA</v>
      </c>
      <c r="X178" s="23">
        <f>VLOOKUP(B178,'[3]Deal List'!$F$4:$Q$302,12,FALSE)</f>
        <v>0</v>
      </c>
    </row>
    <row r="179" spans="1:24" x14ac:dyDescent="0.3">
      <c r="A179" s="41" t="s">
        <v>177</v>
      </c>
      <c r="B179" s="26">
        <v>1020</v>
      </c>
      <c r="C179" s="9" t="str">
        <f>VLOOKUP(B179,'[1]Matriz Precios A'!$B$3:$BN$301,2,FALSE)</f>
        <v>C2</v>
      </c>
      <c r="D179" s="10">
        <f>VLOOKUP(B179,'[1]Matriz Precios A'!$B$3:$BN$301,34,FALSE)</f>
        <v>1259997.37258635</v>
      </c>
      <c r="E179" s="11">
        <f>VLOOKUP(B179,'[1]Matriz Precios A'!$B$3:$BN$301,3,FALSE)</f>
        <v>54.73</v>
      </c>
      <c r="F179" s="11">
        <v>0</v>
      </c>
      <c r="G179" s="12">
        <f>VLOOKUP(B179,'[1]Matriz Precios A'!$B$3:$BP$301,7,FALSE)</f>
        <v>1</v>
      </c>
      <c r="H179" s="13">
        <f t="shared" si="18"/>
        <v>12.5</v>
      </c>
      <c r="I179" s="13">
        <f>VLOOKUP(B179,'[1]Matriz Precios A'!$B$3:$BP$301,8,FALSE)</f>
        <v>0</v>
      </c>
      <c r="J179" s="11">
        <f t="shared" si="19"/>
        <v>0</v>
      </c>
      <c r="K179" s="13">
        <f t="shared" si="20"/>
        <v>0</v>
      </c>
      <c r="L179" s="11">
        <f t="shared" si="21"/>
        <v>67.22999999999999</v>
      </c>
      <c r="M179" s="14">
        <f>$H$198</f>
        <v>16888.888888888891</v>
      </c>
      <c r="N179" s="14">
        <f t="shared" si="22"/>
        <v>1135500</v>
      </c>
      <c r="O179" s="32">
        <f t="shared" si="23"/>
        <v>-124497.37258634996</v>
      </c>
      <c r="P179" s="15">
        <v>99456</v>
      </c>
      <c r="Q179" s="16">
        <f>VLOOKUP(B179,[2]Sheet1!$C$2:$D$299,2,FALSE)</f>
        <v>0</v>
      </c>
      <c r="R179" s="17">
        <v>65500</v>
      </c>
      <c r="S179" s="17">
        <f t="shared" si="24"/>
        <v>65500</v>
      </c>
      <c r="T179" s="19">
        <f t="shared" si="25"/>
        <v>-33956</v>
      </c>
      <c r="U179" s="20" t="str">
        <f t="shared" si="26"/>
        <v>AL DÍA</v>
      </c>
      <c r="V179" s="21">
        <f>VLOOKUP(B179,'[3]Deal List'!$F$4:$Q$302,8,FALSE)</f>
        <v>4</v>
      </c>
      <c r="W179" s="22" t="str">
        <f>VLOOKUP(B179,'[3]Deal List'!$F$4:$Q$302,9,FALSE)</f>
        <v>APROBADA</v>
      </c>
      <c r="X179" s="23">
        <f>VLOOKUP(B179,'[3]Deal List'!$F$4:$Q$302,12,FALSE)</f>
        <v>0</v>
      </c>
    </row>
    <row r="180" spans="1:24" x14ac:dyDescent="0.3">
      <c r="A180" s="27" t="s">
        <v>178</v>
      </c>
      <c r="B180" s="27">
        <v>414</v>
      </c>
      <c r="C180" s="9" t="str">
        <f>VLOOKUP(B180,'[1]Matriz Precios A'!$B$3:$BN$301,2,FALSE)</f>
        <v>B3</v>
      </c>
      <c r="D180" s="10">
        <f>VLOOKUP(B180,'[1]Matriz Precios A'!$B$3:$BN$301,34,FALSE)</f>
        <v>887400</v>
      </c>
      <c r="E180" s="11">
        <f>VLOOKUP(B180,'[1]Matriz Precios A'!$B$3:$BN$301,3,FALSE)</f>
        <v>48.96</v>
      </c>
      <c r="F180" s="11">
        <v>0</v>
      </c>
      <c r="G180" s="12">
        <f>VLOOKUP(B180,'[1]Matriz Precios A'!$B$3:$BP$301,7,FALSE)</f>
        <v>1</v>
      </c>
      <c r="H180" s="13">
        <f t="shared" si="18"/>
        <v>12.5</v>
      </c>
      <c r="I180" s="13">
        <f>VLOOKUP(B180,'[1]Matriz Precios A'!$B$3:$BP$301,8,FALSE)</f>
        <v>0</v>
      </c>
      <c r="J180" s="11">
        <f t="shared" si="19"/>
        <v>0</v>
      </c>
      <c r="K180" s="13">
        <f t="shared" si="20"/>
        <v>0</v>
      </c>
      <c r="L180" s="11">
        <f t="shared" si="21"/>
        <v>61.46</v>
      </c>
      <c r="M180" s="14">
        <f>$H$196</f>
        <v>16800</v>
      </c>
      <c r="N180" s="14">
        <f t="shared" si="22"/>
        <v>1032600</v>
      </c>
      <c r="O180" s="14">
        <f t="shared" si="23"/>
        <v>145200</v>
      </c>
      <c r="P180" s="15">
        <v>88800</v>
      </c>
      <c r="Q180" s="16">
        <f>VLOOKUP(B180,[2]Sheet1!$C$2:$D$299,2,FALSE)</f>
        <v>88800</v>
      </c>
      <c r="R180" s="17">
        <v>177493</v>
      </c>
      <c r="S180" s="17">
        <f t="shared" si="24"/>
        <v>88693</v>
      </c>
      <c r="T180" s="43">
        <f t="shared" si="25"/>
        <v>88693</v>
      </c>
      <c r="U180" s="20" t="str">
        <f t="shared" si="26"/>
        <v>AL DÍA</v>
      </c>
      <c r="V180" s="21">
        <f>VLOOKUP(B180,'[3]Deal List'!$F$4:$Q$302,8,FALSE)</f>
        <v>2</v>
      </c>
      <c r="W180" s="22" t="str">
        <f>VLOOKUP(B180,'[3]Deal List'!$F$4:$Q$302,9,FALSE)</f>
        <v>APROBADA</v>
      </c>
      <c r="X180" s="23">
        <f>VLOOKUP(B180,'[3]Deal List'!$F$4:$Q$302,12,FALSE)</f>
        <v>0</v>
      </c>
    </row>
    <row r="181" spans="1:24" x14ac:dyDescent="0.3">
      <c r="A181" s="29" t="s">
        <v>179</v>
      </c>
      <c r="B181" s="29">
        <v>404</v>
      </c>
      <c r="C181" s="9" t="str">
        <f>VLOOKUP(B181,'[1]Matriz Precios A'!$B$3:$BN$301,2,FALSE)</f>
        <v>A3</v>
      </c>
      <c r="D181" s="10">
        <f>VLOOKUP(B181,'[1]Matriz Precios A'!$B$3:$BN$301,34,FALSE)</f>
        <v>721100</v>
      </c>
      <c r="E181" s="11">
        <f>VLOOKUP(B181,'[1]Matriz Precios A'!$B$3:$BN$301,3,FALSE)</f>
        <v>35.94</v>
      </c>
      <c r="F181" s="11">
        <v>0</v>
      </c>
      <c r="G181" s="12">
        <f>VLOOKUP(B181,'[1]Matriz Precios A'!$B$3:$BP$301,7,FALSE)</f>
        <v>1</v>
      </c>
      <c r="H181" s="13">
        <f t="shared" si="18"/>
        <v>12.5</v>
      </c>
      <c r="I181" s="13">
        <f>VLOOKUP(B181,'[1]Matriz Precios A'!$B$3:$BP$301,8,FALSE)</f>
        <v>0</v>
      </c>
      <c r="J181" s="11">
        <f t="shared" si="19"/>
        <v>0</v>
      </c>
      <c r="K181" s="13">
        <f t="shared" si="20"/>
        <v>0</v>
      </c>
      <c r="L181" s="11">
        <f t="shared" si="21"/>
        <v>48.44</v>
      </c>
      <c r="M181" s="30">
        <f>$H$195</f>
        <v>18865.9793814433</v>
      </c>
      <c r="N181" s="14">
        <f t="shared" si="22"/>
        <v>913900</v>
      </c>
      <c r="O181" s="14">
        <f t="shared" si="23"/>
        <v>192800</v>
      </c>
      <c r="P181" s="15">
        <v>72200</v>
      </c>
      <c r="Q181" s="16">
        <f>VLOOKUP(B181,[2]Sheet1!$C$2:$D$299,2,FALSE)</f>
        <v>72200</v>
      </c>
      <c r="R181" s="17">
        <v>164200</v>
      </c>
      <c r="S181" s="17">
        <f t="shared" si="24"/>
        <v>92000</v>
      </c>
      <c r="T181" s="43">
        <f t="shared" si="25"/>
        <v>92000</v>
      </c>
      <c r="U181" s="20" t="str">
        <f t="shared" si="26"/>
        <v>AL DÍA</v>
      </c>
      <c r="V181" s="21">
        <f>VLOOKUP(B181,'[3]Deal List'!$F$4:$Q$302,8,FALSE)</f>
        <v>2</v>
      </c>
      <c r="W181" s="22" t="str">
        <f>VLOOKUP(B181,'[3]Deal List'!$F$4:$Q$302,9,FALSE)</f>
        <v>APROBADA</v>
      </c>
      <c r="X181" s="23">
        <f>VLOOKUP(B181,'[3]Deal List'!$F$4:$Q$302,12,FALSE)</f>
        <v>0</v>
      </c>
    </row>
    <row r="182" spans="1:24" x14ac:dyDescent="0.3">
      <c r="A182" s="41" t="s">
        <v>180</v>
      </c>
      <c r="B182" s="26">
        <v>709</v>
      </c>
      <c r="C182" s="9" t="str">
        <f>VLOOKUP(B182,'[1]Matriz Precios A'!$B$3:$BN$301,2,FALSE)</f>
        <v>C5</v>
      </c>
      <c r="D182" s="10">
        <f>VLOOKUP(B182,'[1]Matriz Precios A'!$B$3:$BN$301,34,FALSE)</f>
        <v>1381446.6987563099</v>
      </c>
      <c r="E182" s="11">
        <f>VLOOKUP(B182,'[1]Matriz Precios A'!$B$3:$BN$301,3,FALSE)</f>
        <v>54.86</v>
      </c>
      <c r="F182" s="11">
        <v>0</v>
      </c>
      <c r="G182" s="12">
        <f>VLOOKUP(B182,'[1]Matriz Precios A'!$B$3:$BP$301,7,FALSE)</f>
        <v>0</v>
      </c>
      <c r="H182" s="13">
        <f t="shared" si="18"/>
        <v>0</v>
      </c>
      <c r="I182" s="13">
        <f>VLOOKUP(B182,'[1]Matriz Precios A'!$B$3:$BP$301,8,FALSE)</f>
        <v>1</v>
      </c>
      <c r="J182" s="11">
        <f t="shared" si="19"/>
        <v>25</v>
      </c>
      <c r="K182" s="13">
        <f t="shared" si="20"/>
        <v>5.3</v>
      </c>
      <c r="L182" s="11">
        <f t="shared" si="21"/>
        <v>85.16</v>
      </c>
      <c r="M182" s="14">
        <f>$H$199</f>
        <v>15826.494724501759</v>
      </c>
      <c r="N182" s="14">
        <f t="shared" si="22"/>
        <v>1347800</v>
      </c>
      <c r="O182" s="32">
        <f t="shared" si="23"/>
        <v>-33646.698756309925</v>
      </c>
      <c r="P182" s="15">
        <v>96000</v>
      </c>
      <c r="Q182" s="16">
        <f>VLOOKUP(B182,[2]Sheet1!$C$2:$D$299,2,FALSE)</f>
        <v>0</v>
      </c>
      <c r="R182" s="17">
        <v>96000</v>
      </c>
      <c r="S182" s="17">
        <f t="shared" si="24"/>
        <v>96000</v>
      </c>
      <c r="T182" s="43">
        <f t="shared" si="25"/>
        <v>0</v>
      </c>
      <c r="U182" s="20" t="str">
        <f t="shared" si="26"/>
        <v>AL DÍA</v>
      </c>
      <c r="V182" s="21">
        <f>VLOOKUP(B182,'[3]Deal List'!$F$4:$Q$302,8,FALSE)</f>
        <v>4</v>
      </c>
      <c r="W182" s="22" t="str">
        <f>VLOOKUP(B182,'[3]Deal List'!$F$4:$Q$302,9,FALSE)</f>
        <v>APROBADA</v>
      </c>
      <c r="X182" s="23">
        <f>VLOOKUP(B182,'[3]Deal List'!$F$4:$Q$302,12,FALSE)</f>
        <v>0</v>
      </c>
    </row>
    <row r="183" spans="1:24" x14ac:dyDescent="0.3">
      <c r="A183" s="29" t="s">
        <v>181</v>
      </c>
      <c r="B183" s="29">
        <v>714</v>
      </c>
      <c r="C183" s="9" t="str">
        <f>VLOOKUP(B183,'[1]Matriz Precios A'!$B$3:$BN$301,2,FALSE)</f>
        <v>E5</v>
      </c>
      <c r="D183" s="10">
        <f>VLOOKUP(B183,'[1]Matriz Precios A'!$B$3:$BN$301,34,FALSE)</f>
        <v>1438008</v>
      </c>
      <c r="E183" s="11">
        <f>VLOOKUP(B183,'[1]Matriz Precios A'!$B$3:$BN$301,3,FALSE)</f>
        <v>74.260000000000005</v>
      </c>
      <c r="F183" s="11">
        <v>0</v>
      </c>
      <c r="G183" s="12">
        <f>VLOOKUP(B183,'[1]Matriz Precios A'!$B$3:$BP$301,7,FALSE)</f>
        <v>0</v>
      </c>
      <c r="H183" s="13">
        <f t="shared" si="18"/>
        <v>0</v>
      </c>
      <c r="I183" s="13">
        <f>VLOOKUP(B183,'[1]Matriz Precios A'!$B$3:$BP$301,8,FALSE)</f>
        <v>1</v>
      </c>
      <c r="J183" s="11">
        <f t="shared" si="19"/>
        <v>25</v>
      </c>
      <c r="K183" s="13">
        <f t="shared" si="20"/>
        <v>5.3</v>
      </c>
      <c r="L183" s="11">
        <f t="shared" si="21"/>
        <v>104.56</v>
      </c>
      <c r="M183" s="14">
        <f>$H$201</f>
        <v>15392.061955469506</v>
      </c>
      <c r="N183" s="14">
        <f t="shared" si="22"/>
        <v>1609400</v>
      </c>
      <c r="O183" s="14">
        <f t="shared" si="23"/>
        <v>171392</v>
      </c>
      <c r="P183" s="15">
        <v>143808</v>
      </c>
      <c r="Q183" s="16">
        <f>VLOOKUP(B183,[2]Sheet1!$C$2:$D$299,2,FALSE)</f>
        <v>143808</v>
      </c>
      <c r="R183" s="17">
        <v>329500</v>
      </c>
      <c r="S183" s="17">
        <f t="shared" si="24"/>
        <v>185692</v>
      </c>
      <c r="T183" s="43">
        <f t="shared" si="25"/>
        <v>185692</v>
      </c>
      <c r="U183" s="20" t="str">
        <f t="shared" si="26"/>
        <v>AL DÍA</v>
      </c>
      <c r="V183" s="21">
        <f>VLOOKUP(B183,'[3]Deal List'!$F$4:$Q$302,8,FALSE)</f>
        <v>2</v>
      </c>
      <c r="W183" s="22" t="str">
        <f>VLOOKUP(B183,'[3]Deal List'!$F$4:$Q$302,9,FALSE)</f>
        <v>DENEGADA</v>
      </c>
      <c r="X183" s="23" t="str">
        <f>VLOOKUP(B183,'[3]Deal List'!$F$4:$Q$302,12,FALSE)</f>
        <v xml:space="preserve">Cliente posee un RCI del 53% </v>
      </c>
    </row>
    <row r="184" spans="1:24" x14ac:dyDescent="0.3">
      <c r="A184" s="41" t="s">
        <v>182</v>
      </c>
      <c r="B184" s="27">
        <v>1318</v>
      </c>
      <c r="C184" s="9" t="str">
        <f>VLOOKUP(B184,'[1]Matriz Precios A'!$B$3:$BN$301,2,FALSE)</f>
        <v>D1</v>
      </c>
      <c r="D184" s="10">
        <f>VLOOKUP(B184,'[1]Matriz Precios A'!$B$3:$BN$301,34,FALSE)</f>
        <v>1350925.53160624</v>
      </c>
      <c r="E184" s="11">
        <f>VLOOKUP(B184,'[1]Matriz Precios A'!$B$3:$BN$301,3,FALSE)</f>
        <v>64.959999999999994</v>
      </c>
      <c r="F184" s="11">
        <v>0</v>
      </c>
      <c r="G184" s="12">
        <f>VLOOKUP(B184,'[1]Matriz Precios A'!$B$3:$BP$301,7,FALSE)</f>
        <v>0</v>
      </c>
      <c r="H184" s="13">
        <f t="shared" si="18"/>
        <v>0</v>
      </c>
      <c r="I184" s="13">
        <f>VLOOKUP(B184,'[1]Matriz Precios A'!$B$3:$BP$301,8,FALSE)</f>
        <v>1</v>
      </c>
      <c r="J184" s="11">
        <f t="shared" si="19"/>
        <v>25</v>
      </c>
      <c r="K184" s="13">
        <f t="shared" si="20"/>
        <v>5.3</v>
      </c>
      <c r="L184" s="11">
        <f t="shared" si="21"/>
        <v>95.259999999999991</v>
      </c>
      <c r="M184" s="14">
        <f>$H$200</f>
        <v>14696.813977389518</v>
      </c>
      <c r="N184" s="14">
        <f t="shared" si="22"/>
        <v>1400100</v>
      </c>
      <c r="O184" s="14">
        <f t="shared" si="23"/>
        <v>49174.468393760035</v>
      </c>
      <c r="P184" s="15">
        <v>105700</v>
      </c>
      <c r="Q184" s="16">
        <f>VLOOKUP(B184,[2]Sheet1!$C$2:$D$299,2,FALSE)</f>
        <v>0</v>
      </c>
      <c r="R184" s="17">
        <v>235672</v>
      </c>
      <c r="S184" s="17">
        <f t="shared" si="24"/>
        <v>235672</v>
      </c>
      <c r="T184" s="43">
        <f t="shared" si="25"/>
        <v>129972</v>
      </c>
      <c r="U184" s="20" t="str">
        <f t="shared" si="26"/>
        <v>AL DÍA</v>
      </c>
      <c r="V184" s="21">
        <f>VLOOKUP(B184,'[3]Deal List'!$F$4:$Q$302,8,FALSE)</f>
        <v>4</v>
      </c>
      <c r="W184" s="22" t="str">
        <f>VLOOKUP(B184,'[3]Deal List'!$F$4:$Q$302,9,FALSE)</f>
        <v>APROBADA</v>
      </c>
      <c r="X184" s="23">
        <f>VLOOKUP(B184,'[3]Deal List'!$F$4:$Q$302,12,FALSE)</f>
        <v>0</v>
      </c>
    </row>
    <row r="185" spans="1:24" x14ac:dyDescent="0.3">
      <c r="A185" s="31" t="s">
        <v>183</v>
      </c>
      <c r="B185" s="27">
        <v>518</v>
      </c>
      <c r="C185" s="9" t="str">
        <f>VLOOKUP(B185,'[1]Matriz Precios A'!$B$3:$BN$301,2,FALSE)</f>
        <v>E9</v>
      </c>
      <c r="D185" s="10">
        <f>VLOOKUP(B185,'[1]Matriz Precios A'!$B$3:$BN$301,34,FALSE)</f>
        <v>1502549.44216114</v>
      </c>
      <c r="E185" s="11">
        <f>VLOOKUP(B185,'[1]Matriz Precios A'!$B$3:$BN$301,3,FALSE)</f>
        <v>72.2</v>
      </c>
      <c r="F185" s="11">
        <v>0</v>
      </c>
      <c r="G185" s="12">
        <f>VLOOKUP(B185,'[1]Matriz Precios A'!$B$3:$BP$301,7,FALSE)</f>
        <v>0</v>
      </c>
      <c r="H185" s="13">
        <f t="shared" si="18"/>
        <v>0</v>
      </c>
      <c r="I185" s="13">
        <f>VLOOKUP(B185,'[1]Matriz Precios A'!$B$3:$BP$301,8,FALSE)</f>
        <v>1</v>
      </c>
      <c r="J185" s="11">
        <f t="shared" si="19"/>
        <v>25</v>
      </c>
      <c r="K185" s="13">
        <f t="shared" si="20"/>
        <v>5.3</v>
      </c>
      <c r="L185" s="11">
        <f t="shared" si="21"/>
        <v>102.5</v>
      </c>
      <c r="M185" s="14">
        <f>$H$201</f>
        <v>15392.061955469506</v>
      </c>
      <c r="N185" s="14">
        <f t="shared" si="22"/>
        <v>1577700</v>
      </c>
      <c r="O185" s="14">
        <f t="shared" si="23"/>
        <v>75150.557838859968</v>
      </c>
      <c r="P185" s="15">
        <v>150549.44</v>
      </c>
      <c r="Q185" s="16">
        <f>VLOOKUP(B185,[2]Sheet1!$C$2:$D$299,2,FALSE)</f>
        <v>128352</v>
      </c>
      <c r="R185" s="17">
        <v>550549.43999999994</v>
      </c>
      <c r="S185" s="17">
        <f t="shared" si="24"/>
        <v>422197.43999999994</v>
      </c>
      <c r="T185" s="43">
        <f t="shared" si="25"/>
        <v>399999.99999999994</v>
      </c>
      <c r="U185" s="20" t="str">
        <f t="shared" si="26"/>
        <v>AL DÍA</v>
      </c>
      <c r="V185" s="21">
        <f>VLOOKUP(B185,'[3]Deal List'!$F$4:$Q$302,8,FALSE)</f>
        <v>2</v>
      </c>
      <c r="W185" s="22" t="str">
        <f>VLOOKUP(B185,'[3]Deal List'!$F$4:$Q$302,9,FALSE)</f>
        <v>APROBADA</v>
      </c>
      <c r="X185" s="23">
        <f>VLOOKUP(B185,'[3]Deal List'!$F$4:$Q$302,12,FALSE)</f>
        <v>0</v>
      </c>
    </row>
    <row r="186" spans="1:24" x14ac:dyDescent="0.3">
      <c r="A186" s="49" t="s">
        <v>184</v>
      </c>
      <c r="B186" s="49">
        <v>710</v>
      </c>
      <c r="C186" s="9" t="str">
        <f>VLOOKUP(B186,'[1]Matriz Precios A'!$B$3:$BN$301,2,FALSE)</f>
        <v>C6</v>
      </c>
      <c r="D186" s="10">
        <f>VLOOKUP(B186,'[1]Matriz Precios A'!$B$3:$BN$301,34,FALSE)</f>
        <v>1185640.42442039</v>
      </c>
      <c r="E186" s="11">
        <f>VLOOKUP(B186,'[1]Matriz Precios A'!$B$3:$BN$301,3,FALSE)</f>
        <v>55</v>
      </c>
      <c r="F186" s="11">
        <v>0</v>
      </c>
      <c r="G186" s="12">
        <f>VLOOKUP(B186,'[1]Matriz Precios A'!$B$3:$BP$301,7,FALSE)</f>
        <v>0</v>
      </c>
      <c r="H186" s="13">
        <f t="shared" si="18"/>
        <v>0</v>
      </c>
      <c r="I186" s="13">
        <f>VLOOKUP(B186,'[1]Matriz Precios A'!$B$3:$BP$301,8,FALSE)</f>
        <v>1</v>
      </c>
      <c r="J186" s="11">
        <f t="shared" si="19"/>
        <v>25</v>
      </c>
      <c r="K186" s="13">
        <f t="shared" si="20"/>
        <v>5.3</v>
      </c>
      <c r="L186" s="11">
        <f t="shared" si="21"/>
        <v>85.3</v>
      </c>
      <c r="M186" s="14">
        <f>$H$199</f>
        <v>15826.494724501759</v>
      </c>
      <c r="N186" s="14">
        <f t="shared" si="22"/>
        <v>1350000</v>
      </c>
      <c r="O186" s="14">
        <f t="shared" si="23"/>
        <v>164359.57557960995</v>
      </c>
      <c r="P186" s="15">
        <v>118564.042442039</v>
      </c>
      <c r="Q186" s="16">
        <f>VLOOKUP(B186,[2]Sheet1!$C$2:$D$299,2,FALSE)</f>
        <v>0</v>
      </c>
      <c r="R186" s="17">
        <v>468000</v>
      </c>
      <c r="S186" s="17">
        <f t="shared" si="24"/>
        <v>468000</v>
      </c>
      <c r="T186" s="43">
        <f t="shared" si="25"/>
        <v>349435.957557961</v>
      </c>
      <c r="U186" s="20" t="str">
        <f t="shared" si="26"/>
        <v>AL DÍA</v>
      </c>
      <c r="V186" s="21">
        <f>VLOOKUP(B186,'[3]Deal List'!$F$4:$Q$302,8,FALSE)</f>
        <v>2</v>
      </c>
      <c r="W186" s="22" t="str">
        <f>VLOOKUP(B186,'[3]Deal List'!$F$4:$Q$302,9,FALSE)</f>
        <v>APROBADA</v>
      </c>
      <c r="X186" s="23">
        <f>VLOOKUP(B186,'[3]Deal List'!$F$4:$Q$302,12,FALSE)</f>
        <v>0</v>
      </c>
    </row>
    <row r="187" spans="1:24" x14ac:dyDescent="0.3">
      <c r="A187" s="9" t="s">
        <v>25</v>
      </c>
      <c r="B187" s="9">
        <v>1603</v>
      </c>
      <c r="C187" s="9" t="str">
        <f>VLOOKUP(B187,'[1]Matriz Precios A'!$B$3:$BN$301,2,FALSE)</f>
        <v>B6</v>
      </c>
      <c r="D187" s="10">
        <f>VLOOKUP(B187,'[1]Matriz Precios A'!$B$3:$BN$301,34,FALSE)</f>
        <v>863130.61</v>
      </c>
      <c r="E187" s="11">
        <f>VLOOKUP(B187,'[1]Matriz Precios A'!$B$3:$BN$301,3,FALSE)</f>
        <v>50.03</v>
      </c>
      <c r="F187" s="11">
        <v>0</v>
      </c>
      <c r="G187" s="12">
        <f>VLOOKUP(B187,'[1]Matriz Precios A'!$B$3:$BP$301,7,FALSE)</f>
        <v>1</v>
      </c>
      <c r="H187" s="13">
        <f t="shared" si="18"/>
        <v>12.5</v>
      </c>
      <c r="I187" s="13">
        <f>VLOOKUP(B187,'[1]Matriz Precios A'!$B$3:$BP$301,8,FALSE)</f>
        <v>0</v>
      </c>
      <c r="J187" s="11">
        <f t="shared" si="19"/>
        <v>0</v>
      </c>
      <c r="K187" s="13">
        <f t="shared" si="20"/>
        <v>0</v>
      </c>
      <c r="L187" s="11">
        <f t="shared" si="21"/>
        <v>62.53</v>
      </c>
      <c r="M187" s="14">
        <f>$H$196</f>
        <v>16800</v>
      </c>
      <c r="N187" s="14">
        <f t="shared" si="22"/>
        <v>1050600</v>
      </c>
      <c r="O187" s="14">
        <f t="shared" si="23"/>
        <v>187469.39</v>
      </c>
      <c r="P187" s="16">
        <v>156030.60999999999</v>
      </c>
      <c r="Q187" s="16">
        <f>VLOOKUP(B187,[2]Sheet1!$C$2:$D$299,2,FALSE)</f>
        <v>156030.60999999999</v>
      </c>
      <c r="R187" s="17">
        <v>826342</v>
      </c>
      <c r="S187" s="17">
        <f t="shared" si="24"/>
        <v>670311.39</v>
      </c>
      <c r="T187" s="43">
        <f t="shared" si="25"/>
        <v>670311.39</v>
      </c>
      <c r="U187" s="20" t="str">
        <f t="shared" si="26"/>
        <v>AL DÍA</v>
      </c>
      <c r="V187" s="21">
        <f>VLOOKUP(B187,'[3]Deal List'!$F$4:$Q$302,8,FALSE)</f>
        <v>1</v>
      </c>
      <c r="W187" s="22" t="str">
        <f>VLOOKUP(B187,'[3]Deal List'!$F$4:$Q$302,9,FALSE)</f>
        <v>N/A</v>
      </c>
      <c r="X187" s="23">
        <f>VLOOKUP(B187,'[3]Deal List'!$F$4:$Q$302,12,FALSE)</f>
        <v>0</v>
      </c>
    </row>
    <row r="188" spans="1:24" x14ac:dyDescent="0.3">
      <c r="A188" s="27" t="s">
        <v>185</v>
      </c>
      <c r="B188" s="27">
        <v>216</v>
      </c>
      <c r="C188" s="9" t="str">
        <f>VLOOKUP(B188,'[1]Matriz Precios A'!$B$3:$BN$301,2,FALSE)</f>
        <v>C1</v>
      </c>
      <c r="D188" s="10">
        <f>VLOOKUP(B188,'[1]Matriz Precios A'!$B$3:$BN$301,34,FALSE)</f>
        <v>980700</v>
      </c>
      <c r="E188" s="11">
        <f>VLOOKUP(B188,'[1]Matriz Precios A'!$B$3:$BN$301,3,FALSE)</f>
        <v>55.09</v>
      </c>
      <c r="F188" s="11">
        <v>0</v>
      </c>
      <c r="G188" s="12">
        <f>VLOOKUP(B188,'[1]Matriz Precios A'!$B$3:$BP$301,7,FALSE)</f>
        <v>1</v>
      </c>
      <c r="H188" s="13">
        <f t="shared" si="18"/>
        <v>12.5</v>
      </c>
      <c r="I188" s="13">
        <f>VLOOKUP(B188,'[1]Matriz Precios A'!$B$3:$BP$301,8,FALSE)</f>
        <v>0</v>
      </c>
      <c r="J188" s="11">
        <f t="shared" si="19"/>
        <v>0</v>
      </c>
      <c r="K188" s="13">
        <f t="shared" si="20"/>
        <v>0</v>
      </c>
      <c r="L188" s="11">
        <f t="shared" si="21"/>
        <v>67.59</v>
      </c>
      <c r="M188" s="14">
        <f>$H$198</f>
        <v>16888.888888888891</v>
      </c>
      <c r="N188" s="14">
        <f t="shared" si="22"/>
        <v>1141600</v>
      </c>
      <c r="O188" s="14">
        <f t="shared" si="23"/>
        <v>160900</v>
      </c>
      <c r="P188" s="15">
        <v>98100</v>
      </c>
      <c r="Q188" s="16">
        <f>VLOOKUP(B188,[2]Sheet1!$C$2:$D$299,2,FALSE)</f>
        <v>98100</v>
      </c>
      <c r="R188" s="17">
        <v>830700</v>
      </c>
      <c r="S188" s="17">
        <f t="shared" si="24"/>
        <v>732600</v>
      </c>
      <c r="T188" s="43">
        <f t="shared" si="25"/>
        <v>732600</v>
      </c>
      <c r="U188" s="20" t="str">
        <f t="shared" si="26"/>
        <v>AL DÍA</v>
      </c>
      <c r="V188" s="21">
        <f>VLOOKUP(B188,'[3]Deal List'!$F$4:$Q$302,8,FALSE)</f>
        <v>4</v>
      </c>
      <c r="W188" s="22" t="str">
        <f>VLOOKUP(B188,'[3]Deal List'!$F$4:$Q$302,9,FALSE)</f>
        <v>APROBADA</v>
      </c>
      <c r="X188" s="23">
        <f>VLOOKUP(B188,'[3]Deal List'!$F$4:$Q$302,12,FALSE)</f>
        <v>0</v>
      </c>
    </row>
    <row r="189" spans="1:24" x14ac:dyDescent="0.3">
      <c r="A189" s="9" t="s">
        <v>186</v>
      </c>
      <c r="B189" s="50">
        <v>719</v>
      </c>
      <c r="C189" s="9" t="str">
        <f>VLOOKUP(B189,'[1]Matriz Precios A'!$B$3:$BN$301,2,FALSE)</f>
        <v>E10</v>
      </c>
      <c r="D189" s="10">
        <f>VLOOKUP(B189,'[1]Matriz Precios A'!$B$3:$BN$301,34,FALSE)</f>
        <v>1456375.54915152</v>
      </c>
      <c r="E189" s="11">
        <f>VLOOKUP(B189,'[1]Matriz Precios A'!$B$3:$BN$301,3,FALSE)</f>
        <v>72.510000000000005</v>
      </c>
      <c r="F189" s="11">
        <v>0</v>
      </c>
      <c r="G189" s="12">
        <f>VLOOKUP(B189,'[1]Matriz Precios A'!$B$3:$BP$301,7,FALSE)</f>
        <v>0</v>
      </c>
      <c r="H189" s="13">
        <f t="shared" si="18"/>
        <v>0</v>
      </c>
      <c r="I189" s="13">
        <f>VLOOKUP(B189,'[1]Matriz Precios A'!$B$3:$BP$301,8,FALSE)</f>
        <v>1</v>
      </c>
      <c r="J189" s="11">
        <f t="shared" si="19"/>
        <v>25</v>
      </c>
      <c r="K189" s="13">
        <f t="shared" si="20"/>
        <v>5.3</v>
      </c>
      <c r="L189" s="11">
        <f t="shared" si="21"/>
        <v>102.81</v>
      </c>
      <c r="M189" s="14">
        <f>$H$201</f>
        <v>15392.061955469506</v>
      </c>
      <c r="N189" s="14">
        <f t="shared" si="22"/>
        <v>1582500</v>
      </c>
      <c r="O189" s="14">
        <f t="shared" si="23"/>
        <v>126124.45084847999</v>
      </c>
      <c r="P189" s="16">
        <v>1362326.78</v>
      </c>
      <c r="Q189" s="16">
        <f>VLOOKUP(B189,[2]Sheet1!$C$2:$D$299,2,FALSE)</f>
        <v>0</v>
      </c>
      <c r="R189" s="17">
        <v>1362326.78</v>
      </c>
      <c r="S189" s="17">
        <f t="shared" si="24"/>
        <v>1362326.78</v>
      </c>
      <c r="T189" s="43">
        <f t="shared" si="25"/>
        <v>0</v>
      </c>
      <c r="U189" s="20" t="str">
        <f t="shared" si="26"/>
        <v>AL DÍA</v>
      </c>
      <c r="V189" s="21">
        <f>VLOOKUP(B189,'[3]Deal List'!$F$4:$Q$302,8,FALSE)</f>
        <v>2</v>
      </c>
      <c r="W189" s="22" t="str">
        <f>VLOOKUP(B189,'[3]Deal List'!$F$4:$Q$302,9,FALSE)</f>
        <v>APROBADA</v>
      </c>
      <c r="X189" s="23">
        <f>VLOOKUP(B189,'[3]Deal List'!$F$4:$Q$302,12,FALSE)</f>
        <v>0</v>
      </c>
    </row>
    <row r="194" spans="2:8" x14ac:dyDescent="0.3">
      <c r="B194" s="51" t="s">
        <v>187</v>
      </c>
      <c r="C194" s="52" t="s">
        <v>188</v>
      </c>
      <c r="D194" s="51" t="s">
        <v>189</v>
      </c>
      <c r="E194" s="51" t="s">
        <v>190</v>
      </c>
      <c r="F194" s="51" t="s">
        <v>191</v>
      </c>
      <c r="G194" s="51" t="s">
        <v>192</v>
      </c>
      <c r="H194" s="52" t="s">
        <v>193</v>
      </c>
    </row>
    <row r="195" spans="2:8" x14ac:dyDescent="0.3">
      <c r="B195" s="51" t="s">
        <v>194</v>
      </c>
      <c r="C195" s="52">
        <v>915000</v>
      </c>
      <c r="D195" s="51">
        <v>36</v>
      </c>
      <c r="E195" s="51">
        <v>12.5</v>
      </c>
      <c r="F195" s="51">
        <v>0</v>
      </c>
      <c r="G195" s="51">
        <f t="shared" ref="G195:G201" si="27">SUM(D195:F195)</f>
        <v>48.5</v>
      </c>
      <c r="H195" s="52">
        <f t="shared" ref="H195:H201" si="28">C195/G195</f>
        <v>18865.9793814433</v>
      </c>
    </row>
    <row r="196" spans="2:8" x14ac:dyDescent="0.3">
      <c r="B196" s="51" t="s">
        <v>195</v>
      </c>
      <c r="C196" s="52">
        <v>1050000</v>
      </c>
      <c r="D196" s="51">
        <v>50</v>
      </c>
      <c r="E196" s="51">
        <v>12.5</v>
      </c>
      <c r="F196" s="51">
        <v>0</v>
      </c>
      <c r="G196" s="51">
        <f t="shared" si="27"/>
        <v>62.5</v>
      </c>
      <c r="H196" s="52">
        <f t="shared" si="28"/>
        <v>16800</v>
      </c>
    </row>
    <row r="197" spans="2:8" x14ac:dyDescent="0.3">
      <c r="B197" s="51" t="s">
        <v>196</v>
      </c>
      <c r="C197" s="52">
        <v>1260000</v>
      </c>
      <c r="D197" s="51">
        <v>50</v>
      </c>
      <c r="E197" s="51">
        <v>25</v>
      </c>
      <c r="F197" s="51">
        <v>5.3</v>
      </c>
      <c r="G197" s="51">
        <f t="shared" si="27"/>
        <v>80.3</v>
      </c>
      <c r="H197" s="52">
        <f t="shared" si="28"/>
        <v>15691.158156911582</v>
      </c>
    </row>
    <row r="198" spans="2:8" x14ac:dyDescent="0.3">
      <c r="B198" s="51" t="s">
        <v>197</v>
      </c>
      <c r="C198" s="52">
        <v>1140000</v>
      </c>
      <c r="D198" s="51">
        <v>55</v>
      </c>
      <c r="E198" s="51">
        <v>12.5</v>
      </c>
      <c r="F198" s="51">
        <v>0</v>
      </c>
      <c r="G198" s="51">
        <f t="shared" si="27"/>
        <v>67.5</v>
      </c>
      <c r="H198" s="52">
        <f t="shared" si="28"/>
        <v>16888.888888888891</v>
      </c>
    </row>
    <row r="199" spans="2:8" x14ac:dyDescent="0.3">
      <c r="B199" s="51" t="s">
        <v>198</v>
      </c>
      <c r="C199" s="52">
        <v>1350000</v>
      </c>
      <c r="D199" s="51">
        <v>55</v>
      </c>
      <c r="E199" s="51">
        <v>25</v>
      </c>
      <c r="F199" s="51">
        <v>5.3</v>
      </c>
      <c r="G199" s="51">
        <f t="shared" si="27"/>
        <v>85.3</v>
      </c>
      <c r="H199" s="52">
        <f t="shared" si="28"/>
        <v>15826.494724501759</v>
      </c>
    </row>
    <row r="200" spans="2:8" x14ac:dyDescent="0.3">
      <c r="B200" s="51" t="s">
        <v>199</v>
      </c>
      <c r="C200" s="52">
        <v>1430000</v>
      </c>
      <c r="D200" s="51">
        <v>67</v>
      </c>
      <c r="E200" s="51">
        <v>25</v>
      </c>
      <c r="F200" s="51">
        <v>5.3</v>
      </c>
      <c r="G200" s="51">
        <f t="shared" si="27"/>
        <v>97.3</v>
      </c>
      <c r="H200" s="52">
        <f t="shared" si="28"/>
        <v>14696.813977389518</v>
      </c>
    </row>
    <row r="201" spans="2:8" x14ac:dyDescent="0.3">
      <c r="B201" s="51" t="s">
        <v>200</v>
      </c>
      <c r="C201" s="52">
        <v>1590000</v>
      </c>
      <c r="D201" s="51">
        <v>73</v>
      </c>
      <c r="E201" s="51">
        <v>25</v>
      </c>
      <c r="F201" s="51">
        <v>5.3</v>
      </c>
      <c r="G201" s="51">
        <f t="shared" si="27"/>
        <v>103.3</v>
      </c>
      <c r="H201" s="52">
        <f t="shared" si="28"/>
        <v>15392.061955469506</v>
      </c>
    </row>
  </sheetData>
  <autoFilter ref="A1:X189" xr:uid="{ACB75A9E-4695-40EB-8B0C-30D58EB15D4E}">
    <sortState xmlns:xlrd2="http://schemas.microsoft.com/office/spreadsheetml/2017/richdata2" ref="A2:X189">
      <sortCondition ref="S1:S189"/>
    </sortState>
  </autoFilter>
  <conditionalFormatting sqref="D2">
    <cfRule type="cellIs" dxfId="5" priority="5" operator="equal">
      <formula>$U$83</formula>
    </cfRule>
  </conditionalFormatting>
  <conditionalFormatting sqref="U1:U1048576">
    <cfRule type="cellIs" dxfId="4" priority="4" operator="equal">
      <formula>$U$83</formula>
    </cfRule>
    <cfRule type="cellIs" dxfId="3" priority="6" operator="equal">
      <formula>$U$2</formula>
    </cfRule>
  </conditionalFormatting>
  <conditionalFormatting sqref="W1:W1048576">
    <cfRule type="cellIs" dxfId="2" priority="1" operator="equal">
      <formula>$W$19</formula>
    </cfRule>
    <cfRule type="cellIs" dxfId="1" priority="2" operator="equal">
      <formula>$W$18</formula>
    </cfRule>
    <cfRule type="cellIs" dxfId="0" priority="3" operator="equal">
      <formula>$W$2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Cesión de derechos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Rada</dc:creator>
  <cp:lastModifiedBy>Antonio Rada</cp:lastModifiedBy>
  <dcterms:created xsi:type="dcterms:W3CDTF">2026-03-02T15:19:11Z</dcterms:created>
  <dcterms:modified xsi:type="dcterms:W3CDTF">2026-03-02T15:19:51Z</dcterms:modified>
</cp:coreProperties>
</file>